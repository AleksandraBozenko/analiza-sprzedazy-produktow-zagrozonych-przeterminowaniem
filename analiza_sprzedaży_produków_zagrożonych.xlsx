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slicers/slicer4.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leksandra\Desktop\excel\analiza_sprzedaży_produków_zagrożonych\"/>
    </mc:Choice>
  </mc:AlternateContent>
  <xr:revisionPtr revIDLastSave="0" documentId="13_ncr:1_{DB564ABB-EC9E-44A0-A1E4-57D4C2C532A8}" xr6:coauthVersionLast="47" xr6:coauthVersionMax="47" xr10:uidLastSave="{00000000-0000-0000-0000-000000000000}"/>
  <bookViews>
    <workbookView xWindow="-120" yWindow="-120" windowWidth="29040" windowHeight="15720" activeTab="6" xr2:uid="{FA90EF7A-A970-4D98-9319-00E8F5F20C30}"/>
  </bookViews>
  <sheets>
    <sheet name="Dane surowe" sheetId="1" r:id="rId1"/>
    <sheet name="Dane przetworzone" sheetId="7" r:id="rId2"/>
    <sheet name="Słowniki" sheetId="4" r:id="rId3"/>
    <sheet name="Tabele przestawne" sheetId="6" r:id="rId4"/>
    <sheet name="Przegląd" sheetId="5" r:id="rId5"/>
    <sheet name="Efektywność" sheetId="11" r:id="rId6"/>
    <sheet name="Straty" sheetId="12" r:id="rId7"/>
  </sheets>
  <definedNames>
    <definedName name="Slicer_Marka1">#N/A</definedName>
    <definedName name="Slicer_Numer_Miesiąca1">#N/A</definedName>
    <definedName name="Slicer_Sklep1">#N/A</definedName>
  </definedNames>
  <calcPr calcId="191029"/>
  <pivotCaches>
    <pivotCache cacheId="12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U3" i="7" l="1"/>
  <c r="U4" i="7"/>
  <c r="U5" i="7"/>
  <c r="U6" i="7"/>
  <c r="U7" i="7"/>
  <c r="U8" i="7"/>
  <c r="U9" i="7"/>
  <c r="U10" i="7"/>
  <c r="U11" i="7"/>
  <c r="U12" i="7"/>
  <c r="U13" i="7"/>
  <c r="U14" i="7"/>
  <c r="U15" i="7"/>
  <c r="U16" i="7"/>
  <c r="U17" i="7"/>
  <c r="U18" i="7"/>
  <c r="U19" i="7"/>
  <c r="U20" i="7"/>
  <c r="U21" i="7"/>
  <c r="U22" i="7"/>
  <c r="U23" i="7"/>
  <c r="U24" i="7"/>
  <c r="U25" i="7"/>
  <c r="U26" i="7"/>
  <c r="U2" i="7"/>
  <c r="W3" i="7"/>
  <c r="W4" i="7"/>
  <c r="W5" i="7"/>
  <c r="W6" i="7"/>
  <c r="W7" i="7"/>
  <c r="W8" i="7"/>
  <c r="W9" i="7"/>
  <c r="W10" i="7"/>
  <c r="W11" i="7"/>
  <c r="W12" i="7"/>
  <c r="W13" i="7"/>
  <c r="W14" i="7"/>
  <c r="W15" i="7"/>
  <c r="W16" i="7"/>
  <c r="W17" i="7"/>
  <c r="W18" i="7"/>
  <c r="W19" i="7"/>
  <c r="W20" i="7"/>
  <c r="W21" i="7"/>
  <c r="W22" i="7"/>
  <c r="W23" i="7"/>
  <c r="W24" i="7"/>
  <c r="W25" i="7"/>
  <c r="W26" i="7"/>
  <c r="W2" i="7"/>
  <c r="T10" i="7"/>
  <c r="T2" i="7"/>
  <c r="R3" i="7"/>
  <c r="R4" i="7"/>
  <c r="R5" i="7"/>
  <c r="R6" i="7"/>
  <c r="R7" i="7"/>
  <c r="R8" i="7"/>
  <c r="R9" i="7"/>
  <c r="R10" i="7"/>
  <c r="R11" i="7"/>
  <c r="R12" i="7"/>
  <c r="R13" i="7"/>
  <c r="R14" i="7"/>
  <c r="R15" i="7"/>
  <c r="R16" i="7"/>
  <c r="R17" i="7"/>
  <c r="R18" i="7"/>
  <c r="R19" i="7"/>
  <c r="R20" i="7"/>
  <c r="R21" i="7"/>
  <c r="R22" i="7"/>
  <c r="R23" i="7"/>
  <c r="R24" i="7"/>
  <c r="R25" i="7"/>
  <c r="R26" i="7"/>
  <c r="R2" i="7"/>
  <c r="H2" i="7"/>
  <c r="I2" i="7"/>
  <c r="L2" i="7"/>
  <c r="P2" i="7"/>
  <c r="V2" i="7" s="1"/>
  <c r="Q2" i="7"/>
  <c r="H3" i="7"/>
  <c r="I3" i="7"/>
  <c r="L3" i="7"/>
  <c r="P3" i="7"/>
  <c r="V3" i="7" s="1"/>
  <c r="Q3" i="7"/>
  <c r="T3" i="7" s="1"/>
  <c r="H4" i="7"/>
  <c r="I4" i="7"/>
  <c r="L4" i="7"/>
  <c r="P4" i="7"/>
  <c r="V4" i="7" s="1"/>
  <c r="Q4" i="7"/>
  <c r="T4" i="7" s="1"/>
  <c r="H5" i="7"/>
  <c r="I5" i="7"/>
  <c r="L5" i="7"/>
  <c r="P5" i="7"/>
  <c r="V5" i="7" s="1"/>
  <c r="Q5" i="7"/>
  <c r="T5" i="7" s="1"/>
  <c r="H6" i="7"/>
  <c r="I6" i="7"/>
  <c r="L6" i="7"/>
  <c r="P6" i="7"/>
  <c r="V6" i="7" s="1"/>
  <c r="Q6" i="7"/>
  <c r="T6" i="7" s="1"/>
  <c r="H7" i="7"/>
  <c r="I7" i="7"/>
  <c r="L7" i="7"/>
  <c r="P7" i="7"/>
  <c r="V7" i="7" s="1"/>
  <c r="Q7" i="7"/>
  <c r="T7" i="7" s="1"/>
  <c r="H8" i="7"/>
  <c r="I8" i="7"/>
  <c r="L8" i="7"/>
  <c r="P8" i="7"/>
  <c r="V8" i="7" s="1"/>
  <c r="Q8" i="7"/>
  <c r="T8" i="7" s="1"/>
  <c r="H9" i="7"/>
  <c r="I9" i="7"/>
  <c r="L9" i="7"/>
  <c r="P9" i="7"/>
  <c r="V9" i="7" s="1"/>
  <c r="Q9" i="7"/>
  <c r="T9" i="7" s="1"/>
  <c r="H10" i="7"/>
  <c r="I10" i="7"/>
  <c r="L10" i="7"/>
  <c r="P10" i="7"/>
  <c r="V10" i="7" s="1"/>
  <c r="Q10" i="7"/>
  <c r="H11" i="7"/>
  <c r="I11" i="7"/>
  <c r="L11" i="7"/>
  <c r="P11" i="7"/>
  <c r="V11" i="7" s="1"/>
  <c r="Q11" i="7"/>
  <c r="T11" i="7" s="1"/>
  <c r="H12" i="7"/>
  <c r="I12" i="7"/>
  <c r="L12" i="7"/>
  <c r="P12" i="7"/>
  <c r="V12" i="7" s="1"/>
  <c r="Q12" i="7"/>
  <c r="T12" i="7" s="1"/>
  <c r="H13" i="7"/>
  <c r="I13" i="7"/>
  <c r="L13" i="7"/>
  <c r="P13" i="7"/>
  <c r="V13" i="7" s="1"/>
  <c r="Q13" i="7"/>
  <c r="T13" i="7" s="1"/>
  <c r="H14" i="7"/>
  <c r="I14" i="7"/>
  <c r="L14" i="7"/>
  <c r="P14" i="7"/>
  <c r="V14" i="7" s="1"/>
  <c r="Q14" i="7"/>
  <c r="T14" i="7" s="1"/>
  <c r="H15" i="7"/>
  <c r="I15" i="7"/>
  <c r="L15" i="7"/>
  <c r="P15" i="7"/>
  <c r="V15" i="7" s="1"/>
  <c r="Q15" i="7"/>
  <c r="T15" i="7" s="1"/>
  <c r="H16" i="7"/>
  <c r="I16" i="7"/>
  <c r="L16" i="7"/>
  <c r="P16" i="7"/>
  <c r="V16" i="7" s="1"/>
  <c r="Q16" i="7"/>
  <c r="T16" i="7" s="1"/>
  <c r="H17" i="7"/>
  <c r="I17" i="7"/>
  <c r="L17" i="7"/>
  <c r="P17" i="7"/>
  <c r="V17" i="7" s="1"/>
  <c r="Q17" i="7"/>
  <c r="T17" i="7" s="1"/>
  <c r="H18" i="7"/>
  <c r="I18" i="7"/>
  <c r="L18" i="7"/>
  <c r="P18" i="7"/>
  <c r="V18" i="7" s="1"/>
  <c r="Q18" i="7"/>
  <c r="T18" i="7" s="1"/>
  <c r="H19" i="7"/>
  <c r="I19" i="7"/>
  <c r="L19" i="7"/>
  <c r="P19" i="7"/>
  <c r="V19" i="7" s="1"/>
  <c r="Q19" i="7"/>
  <c r="T19" i="7" s="1"/>
  <c r="H20" i="7"/>
  <c r="I20" i="7"/>
  <c r="L20" i="7"/>
  <c r="P20" i="7"/>
  <c r="V20" i="7" s="1"/>
  <c r="Q20" i="7"/>
  <c r="T20" i="7" s="1"/>
  <c r="H21" i="7"/>
  <c r="I21" i="7"/>
  <c r="L21" i="7"/>
  <c r="P21" i="7"/>
  <c r="V21" i="7" s="1"/>
  <c r="Q21" i="7"/>
  <c r="T21" i="7" s="1"/>
  <c r="H22" i="7"/>
  <c r="I22" i="7"/>
  <c r="L22" i="7"/>
  <c r="P22" i="7"/>
  <c r="V22" i="7" s="1"/>
  <c r="Q22" i="7"/>
  <c r="T22" i="7" s="1"/>
  <c r="H23" i="7"/>
  <c r="I23" i="7"/>
  <c r="L23" i="7"/>
  <c r="P23" i="7"/>
  <c r="V23" i="7" s="1"/>
  <c r="Q23" i="7"/>
  <c r="T23" i="7" s="1"/>
  <c r="H24" i="7"/>
  <c r="I24" i="7"/>
  <c r="L24" i="7"/>
  <c r="P24" i="7"/>
  <c r="V24" i="7" s="1"/>
  <c r="Q24" i="7"/>
  <c r="T24" i="7" s="1"/>
  <c r="H25" i="7"/>
  <c r="I25" i="7"/>
  <c r="L25" i="7"/>
  <c r="P25" i="7"/>
  <c r="V25" i="7" s="1"/>
  <c r="Q25" i="7"/>
  <c r="T25" i="7" s="1"/>
  <c r="H26" i="7"/>
  <c r="I26" i="7"/>
  <c r="L26" i="7"/>
  <c r="P26" i="7"/>
  <c r="V26" i="7" s="1"/>
  <c r="Q26" i="7"/>
  <c r="T26" i="7" s="1"/>
  <c r="U3" i="1"/>
  <c r="U4" i="1"/>
  <c r="U5" i="1"/>
  <c r="U6" i="1"/>
  <c r="U7" i="1"/>
  <c r="U8" i="1"/>
  <c r="U9" i="1"/>
  <c r="U10" i="1"/>
  <c r="U11" i="1"/>
  <c r="U12" i="1"/>
  <c r="U13" i="1"/>
  <c r="U14" i="1"/>
  <c r="U15" i="1"/>
  <c r="U16" i="1"/>
  <c r="U17" i="1"/>
  <c r="U18" i="1"/>
  <c r="U19" i="1"/>
  <c r="U20" i="1"/>
  <c r="U21" i="1"/>
  <c r="U22" i="1"/>
  <c r="U23" i="1"/>
  <c r="U24" i="1"/>
  <c r="U25" i="1"/>
  <c r="U26" i="1"/>
  <c r="T9" i="1"/>
  <c r="V9" i="1" s="1"/>
  <c r="T10" i="1"/>
  <c r="V10" i="1" s="1"/>
  <c r="T17" i="1"/>
  <c r="V17" i="1" s="1"/>
  <c r="T18" i="1"/>
  <c r="V18" i="1" s="1"/>
  <c r="T25" i="1"/>
  <c r="V25" i="1" s="1"/>
  <c r="T26" i="1"/>
  <c r="V26" i="1" s="1"/>
  <c r="R5" i="1"/>
  <c r="R8" i="1"/>
  <c r="R9" i="1"/>
  <c r="R13" i="1"/>
  <c r="R16" i="1"/>
  <c r="R17" i="1"/>
  <c r="R21" i="1"/>
  <c r="R24" i="1"/>
  <c r="R25" i="1"/>
  <c r="Q4" i="1"/>
  <c r="Q7" i="1"/>
  <c r="Q8" i="1"/>
  <c r="Q15" i="1"/>
  <c r="Q16" i="1"/>
  <c r="Q20" i="1"/>
  <c r="Q23" i="1"/>
  <c r="Q24" i="1"/>
  <c r="O3" i="1"/>
  <c r="T3" i="1" s="1"/>
  <c r="V3" i="1" s="1"/>
  <c r="O4" i="1"/>
  <c r="T4" i="1" s="1"/>
  <c r="V4" i="1" s="1"/>
  <c r="O5" i="1"/>
  <c r="T5" i="1" s="1"/>
  <c r="V5" i="1" s="1"/>
  <c r="O6" i="1"/>
  <c r="T6" i="1" s="1"/>
  <c r="V6" i="1" s="1"/>
  <c r="O7" i="1"/>
  <c r="R7" i="1" s="1"/>
  <c r="O8" i="1"/>
  <c r="T8" i="1" s="1"/>
  <c r="O9" i="1"/>
  <c r="O10" i="1"/>
  <c r="R10" i="1" s="1"/>
  <c r="O11" i="1"/>
  <c r="T11" i="1" s="1"/>
  <c r="V11" i="1" s="1"/>
  <c r="O12" i="1"/>
  <c r="T12" i="1" s="1"/>
  <c r="V12" i="1" s="1"/>
  <c r="O13" i="1"/>
  <c r="T13" i="1" s="1"/>
  <c r="V13" i="1" s="1"/>
  <c r="O14" i="1"/>
  <c r="R14" i="1" s="1"/>
  <c r="O15" i="1"/>
  <c r="R15" i="1" s="1"/>
  <c r="O16" i="1"/>
  <c r="T16" i="1" s="1"/>
  <c r="V16" i="1" s="1"/>
  <c r="O17" i="1"/>
  <c r="O18" i="1"/>
  <c r="R18" i="1" s="1"/>
  <c r="O19" i="1"/>
  <c r="T19" i="1" s="1"/>
  <c r="V19" i="1" s="1"/>
  <c r="O20" i="1"/>
  <c r="T20" i="1" s="1"/>
  <c r="V20" i="1" s="1"/>
  <c r="O21" i="1"/>
  <c r="T21" i="1" s="1"/>
  <c r="V21" i="1" s="1"/>
  <c r="O22" i="1"/>
  <c r="T22" i="1" s="1"/>
  <c r="V22" i="1" s="1"/>
  <c r="O23" i="1"/>
  <c r="R23" i="1" s="1"/>
  <c r="O24" i="1"/>
  <c r="T24" i="1" s="1"/>
  <c r="V24" i="1" s="1"/>
  <c r="O25" i="1"/>
  <c r="O26" i="1"/>
  <c r="R26" i="1" s="1"/>
  <c r="O2" i="1"/>
  <c r="T2" i="1" s="1"/>
  <c r="N3" i="1"/>
  <c r="Q3" i="1" s="1"/>
  <c r="N4" i="1"/>
  <c r="N5" i="1"/>
  <c r="Q5" i="1" s="1"/>
  <c r="N6" i="1"/>
  <c r="Q6" i="1" s="1"/>
  <c r="N7" i="1"/>
  <c r="N8" i="1"/>
  <c r="N9" i="1"/>
  <c r="Q9" i="1" s="1"/>
  <c r="N10" i="1"/>
  <c r="Q10" i="1" s="1"/>
  <c r="N11" i="1"/>
  <c r="Q11" i="1" s="1"/>
  <c r="N12" i="1"/>
  <c r="Q12" i="1" s="1"/>
  <c r="N13" i="1"/>
  <c r="Q13" i="1" s="1"/>
  <c r="N14" i="1"/>
  <c r="Q14" i="1" s="1"/>
  <c r="N15" i="1"/>
  <c r="N16" i="1"/>
  <c r="N17" i="1"/>
  <c r="Q17" i="1" s="1"/>
  <c r="N18" i="1"/>
  <c r="Q18" i="1" s="1"/>
  <c r="N19" i="1"/>
  <c r="Q19" i="1" s="1"/>
  <c r="N20" i="1"/>
  <c r="N21" i="1"/>
  <c r="Q21" i="1" s="1"/>
  <c r="N22" i="1"/>
  <c r="Q22" i="1" s="1"/>
  <c r="N23" i="1"/>
  <c r="N24" i="1"/>
  <c r="N25" i="1"/>
  <c r="Q25" i="1" s="1"/>
  <c r="N26" i="1"/>
  <c r="Q26" i="1" s="1"/>
  <c r="N2" i="1"/>
  <c r="Q2" i="1" s="1"/>
  <c r="J38" i="6"/>
  <c r="J68" i="6"/>
  <c r="J20" i="6"/>
  <c r="J47" i="6"/>
  <c r="V8" i="1" l="1"/>
  <c r="R6" i="1"/>
  <c r="T15" i="1"/>
  <c r="V15" i="1" s="1"/>
  <c r="T14" i="1"/>
  <c r="V14" i="1" s="1"/>
  <c r="R20" i="1"/>
  <c r="R12" i="1"/>
  <c r="R4" i="1"/>
  <c r="T7" i="1"/>
  <c r="V7" i="1" s="1"/>
  <c r="R2" i="1"/>
  <c r="R19" i="1"/>
  <c r="R11" i="1"/>
  <c r="R3" i="1"/>
  <c r="R22" i="1"/>
  <c r="T23" i="1"/>
  <c r="V23" i="1" s="1"/>
  <c r="S23" i="7"/>
  <c r="S4" i="7"/>
  <c r="S3" i="7"/>
  <c r="S20" i="7"/>
  <c r="S15" i="7"/>
  <c r="S16" i="7"/>
  <c r="S12" i="7"/>
  <c r="S9" i="7"/>
  <c r="S17" i="7"/>
  <c r="S22" i="7"/>
  <c r="S10" i="7"/>
  <c r="S24" i="7"/>
  <c r="S18" i="7"/>
  <c r="S25" i="7"/>
  <c r="S13" i="7"/>
  <c r="S26" i="7"/>
  <c r="S21" i="7"/>
  <c r="S5" i="7"/>
  <c r="S2" i="7"/>
  <c r="S19" i="7"/>
  <c r="S11" i="7"/>
  <c r="S6" i="7"/>
  <c r="S14" i="7"/>
  <c r="S8" i="7"/>
  <c r="S7" i="7"/>
  <c r="J26" i="1"/>
  <c r="P26" i="1"/>
  <c r="J6" i="1"/>
  <c r="P6" i="1"/>
  <c r="J7" i="1"/>
  <c r="P7" i="1"/>
  <c r="J9" i="1"/>
  <c r="P9" i="1"/>
  <c r="J8" i="1"/>
  <c r="P8" i="1"/>
  <c r="J10" i="1"/>
  <c r="P10" i="1"/>
  <c r="P3" i="1"/>
  <c r="P4" i="1"/>
  <c r="P5" i="1"/>
  <c r="P11" i="1"/>
  <c r="P12" i="1"/>
  <c r="P13" i="1"/>
  <c r="P14" i="1"/>
  <c r="P15" i="1"/>
  <c r="P16" i="1"/>
  <c r="P17" i="1"/>
  <c r="P18" i="1"/>
  <c r="P19" i="1"/>
  <c r="P20" i="1"/>
  <c r="P21" i="1"/>
  <c r="P22" i="1"/>
  <c r="P23" i="1"/>
  <c r="P24" i="1"/>
  <c r="P25" i="1"/>
  <c r="P2" i="1"/>
  <c r="J2" i="1"/>
  <c r="U2" i="1"/>
  <c r="V2" i="1" s="1"/>
  <c r="J3" i="1"/>
  <c r="J4" i="1"/>
  <c r="J5" i="1"/>
  <c r="J11" i="1"/>
  <c r="J12" i="1"/>
  <c r="J13" i="1"/>
  <c r="J25" i="1"/>
  <c r="J24" i="1"/>
  <c r="J23" i="1"/>
  <c r="J22" i="1"/>
  <c r="J21" i="1"/>
  <c r="J20" i="1"/>
  <c r="J19" i="1"/>
  <c r="J18" i="1"/>
  <c r="J17" i="1"/>
  <c r="J16" i="1"/>
  <c r="J15" i="1"/>
  <c r="J14" i="1"/>
  <c r="X17" i="7" l="1"/>
  <c r="X15" i="7"/>
  <c r="X23" i="7"/>
  <c r="X19" i="7"/>
  <c r="X21" i="7"/>
  <c r="X26" i="7"/>
  <c r="X13" i="7"/>
  <c r="X11" i="7"/>
  <c r="X9" i="7"/>
  <c r="X7" i="7"/>
  <c r="X5" i="7"/>
  <c r="X3" i="7"/>
  <c r="X22" i="7"/>
  <c r="X14" i="7"/>
  <c r="X6" i="7"/>
  <c r="X20" i="7"/>
  <c r="X18" i="7"/>
  <c r="X12" i="7"/>
  <c r="X10" i="7"/>
  <c r="X8" i="7"/>
  <c r="X4" i="7"/>
  <c r="X24" i="7"/>
  <c r="X16" i="7"/>
  <c r="X25" i="7"/>
  <c r="X2" i="7"/>
  <c r="S26" i="1"/>
  <c r="S6" i="1"/>
  <c r="S22" i="1"/>
  <c r="S25" i="1"/>
  <c r="S9" i="1"/>
  <c r="S7" i="1"/>
  <c r="S2" i="1"/>
  <c r="S21" i="1"/>
  <c r="S13" i="1"/>
  <c r="S5" i="1"/>
  <c r="S14" i="1"/>
  <c r="S12" i="1"/>
  <c r="S4" i="1"/>
  <c r="S19" i="1"/>
  <c r="S18" i="1"/>
  <c r="S3" i="1"/>
  <c r="S17" i="1"/>
  <c r="S24" i="1"/>
  <c r="S16" i="1"/>
  <c r="S20" i="1"/>
  <c r="S11" i="1"/>
  <c r="S10" i="1"/>
  <c r="S8" i="1"/>
  <c r="S23" i="1"/>
  <c r="S15" i="1"/>
</calcChain>
</file>

<file path=xl/sharedStrings.xml><?xml version="1.0" encoding="utf-8"?>
<sst xmlns="http://schemas.openxmlformats.org/spreadsheetml/2006/main" count="536" uniqueCount="113">
  <si>
    <t xml:space="preserve"> </t>
  </si>
  <si>
    <t>Data Audytu</t>
  </si>
  <si>
    <t>Sklep</t>
  </si>
  <si>
    <t>Data Ważności</t>
  </si>
  <si>
    <t>Wartość Zagrożona (zł)</t>
  </si>
  <si>
    <t>Uwagi</t>
  </si>
  <si>
    <t>Wykryto (szt.)</t>
  </si>
  <si>
    <t>Przeterminowane (szt.)</t>
  </si>
  <si>
    <t>Odzysk Rzeczywisty (zł)</t>
  </si>
  <si>
    <t>Strata Rzeczywista (zł)</t>
  </si>
  <si>
    <t xml:space="preserve">Uwagi </t>
  </si>
  <si>
    <t>Marka</t>
  </si>
  <si>
    <t xml:space="preserve">Nazwa Produktu </t>
  </si>
  <si>
    <t>Cena (zł)</t>
  </si>
  <si>
    <t>01.06.2026</t>
  </si>
  <si>
    <t>Winiary</t>
  </si>
  <si>
    <t>Zupa ogonowa</t>
  </si>
  <si>
    <t>Doner kebab kubek</t>
  </si>
  <si>
    <t>Knorr</t>
  </si>
  <si>
    <t>Słaba sprzedaż</t>
  </si>
  <si>
    <t>Zapomniany towar w magazynie</t>
  </si>
  <si>
    <t>Brak reakcji</t>
  </si>
  <si>
    <t>Zbyt duży zapas</t>
  </si>
  <si>
    <t>Kategoria</t>
  </si>
  <si>
    <t>Zupy w proszku</t>
  </si>
  <si>
    <t>Dania instant</t>
  </si>
  <si>
    <t>Fixy</t>
  </si>
  <si>
    <t>Ketchupy</t>
  </si>
  <si>
    <t>Sosy w proszku</t>
  </si>
  <si>
    <t>Buliony</t>
  </si>
  <si>
    <t>Majonezy</t>
  </si>
  <si>
    <t>Sosy majonezowe</t>
  </si>
  <si>
    <t>Dania gotowe</t>
  </si>
  <si>
    <t>Przyprawy</t>
  </si>
  <si>
    <t>Przyprawy w płynie</t>
  </si>
  <si>
    <t>Sosy gorące</t>
  </si>
  <si>
    <t>Sosy zimne</t>
  </si>
  <si>
    <t>Row Labels</t>
  </si>
  <si>
    <t>Grand Total</t>
  </si>
  <si>
    <t>01.07.2026</t>
  </si>
  <si>
    <t>Sos 4 sery z bazylią</t>
  </si>
  <si>
    <t>Sos serowo-pieczarkowy</t>
  </si>
  <si>
    <t>Pomysł na... leczo</t>
  </si>
  <si>
    <t>Zupa kapuśniak</t>
  </si>
  <si>
    <t>Pomysł na... mac &amp; cheese</t>
  </si>
  <si>
    <t>Sos myśliwski</t>
  </si>
  <si>
    <t>Fusion cup sweet &amp; sour</t>
  </si>
  <si>
    <t>Kitkat duo classic</t>
  </si>
  <si>
    <t>Słodycze</t>
  </si>
  <si>
    <t>Galaretki</t>
  </si>
  <si>
    <t>Budynie</t>
  </si>
  <si>
    <t>Kisiele</t>
  </si>
  <si>
    <t>Ułożenie wg FIFO, obserwacja</t>
  </si>
  <si>
    <t>Majonez z olejem awokado</t>
  </si>
  <si>
    <t>Sos tatarski</t>
  </si>
  <si>
    <t>Bulionetka warzywna</t>
  </si>
  <si>
    <t>Gorący kubek chicken burrito</t>
  </si>
  <si>
    <t>Gorący kubek sweet sour taste</t>
  </si>
  <si>
    <t>Majonez dekoracyjny 700ml</t>
  </si>
  <si>
    <t>Zapiekanka makaronowa z szynką</t>
  </si>
  <si>
    <t>Garnek chłopski</t>
  </si>
  <si>
    <t>Kurczak w sosie dyniowym</t>
  </si>
  <si>
    <t>Mac'n cheese</t>
  </si>
  <si>
    <t>Sos pomidorowy</t>
  </si>
  <si>
    <t>01.04.2026</t>
  </si>
  <si>
    <t>17.04.2026</t>
  </si>
  <si>
    <t>Data Audytu2</t>
  </si>
  <si>
    <t>Pozostało (szt.)</t>
  </si>
  <si>
    <t>04.05.2026</t>
  </si>
  <si>
    <t>18.05.2026</t>
  </si>
  <si>
    <t>13.05.2026</t>
  </si>
  <si>
    <t>Brak FIFO</t>
  </si>
  <si>
    <t>15.06.2026</t>
  </si>
  <si>
    <t>15.07.2026</t>
  </si>
  <si>
    <t>Noodle  kaczka</t>
  </si>
  <si>
    <t>Values</t>
  </si>
  <si>
    <t>Łączne koszty strat i rabatów (zł)</t>
  </si>
  <si>
    <t>Miesiąc Ważności(PL)</t>
  </si>
  <si>
    <t>Numer Miesiąca</t>
  </si>
  <si>
    <t>Odzysk z Przecen (zł)</t>
  </si>
  <si>
    <t>Koszt Przeceny (zł)</t>
  </si>
  <si>
    <t>Sum of Odzysk z Przecen (zł)</t>
  </si>
  <si>
    <t>Sum of Koszt Przeceny (zł)</t>
  </si>
  <si>
    <t>IV</t>
  </si>
  <si>
    <t>V</t>
  </si>
  <si>
    <t>VI</t>
  </si>
  <si>
    <t>VII</t>
  </si>
  <si>
    <t>Uratowane Łącznie(szt.)</t>
  </si>
  <si>
    <t>Uratowane bez przeceny (szt.)</t>
  </si>
  <si>
    <t>Uratowane z przeceną (szt.)</t>
  </si>
  <si>
    <t>Przecena  (%)</t>
  </si>
  <si>
    <t>Odzysk rzeczywisty</t>
  </si>
  <si>
    <t>Łączne koszty strat i przecen</t>
  </si>
  <si>
    <t>Odzysk z przecen</t>
  </si>
  <si>
    <t>Sum of Wartość Zagrożona (zł)</t>
  </si>
  <si>
    <t>Sum of Odzysk Rzeczywisty (zł)</t>
  </si>
  <si>
    <t>Count of roi</t>
  </si>
  <si>
    <t>(All)</t>
  </si>
  <si>
    <t>Odzysk bez Przecen (zł)</t>
  </si>
  <si>
    <t>Koszt przecen</t>
  </si>
  <si>
    <t>Odzysk bez przecen</t>
  </si>
  <si>
    <t>Sum of Strata Rzeczywista (zł)</t>
  </si>
  <si>
    <t>Sum of Przeterminowane (szt.)</t>
  </si>
  <si>
    <t>Uratowane bez Przeceny (szt.)</t>
  </si>
  <si>
    <t>Uratowane z Przeceną (szt.)</t>
  </si>
  <si>
    <t>Uratowane Łącznie (szt.)</t>
  </si>
  <si>
    <t>Łączne Koszty Strat i Rabatów (zł)</t>
  </si>
  <si>
    <t>Przecena (%)</t>
  </si>
  <si>
    <t>Koszt Przecen (zł)</t>
  </si>
  <si>
    <t>Błędna ocena popytu</t>
  </si>
  <si>
    <t>Analiza skuteczności sprzedaży produktów zagrożonych przeterminowaniem</t>
  </si>
  <si>
    <t xml:space="preserve">Market Bielsko-Biała </t>
  </si>
  <si>
    <t xml:space="preserve">Market Pszczyna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</si>
</sst>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 [$zł-415]_-;\-* #,##0.00\ [$zł-415]_-;_-* &quot;-&quot;??\ [$zł-415]_-;_-@_-"/>
    <numFmt numFmtId="165" formatCode="_-* #,##0\ [$zł-415]_-;\-* #,##0\ [$zł-415]_-;_-* &quot;-&quot;??\ [$zł-415]_-;_-@_-"/>
  </numFmts>
  <fonts count="10"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sz val="11"/>
      <color theme="4" tint="-0.249977111117893"/>
      <name val="Aptos Narrow"/>
      <family val="2"/>
      <scheme val="minor"/>
    </font>
    <font>
      <sz val="22"/>
      <color theme="1"/>
      <name val="Aptos Narrow"/>
      <family val="2"/>
      <scheme val="minor"/>
    </font>
    <font>
      <sz val="11"/>
      <color rgb="FF1F1F1F"/>
      <name val="Arial"/>
      <family val="2"/>
      <charset val="238"/>
    </font>
    <font>
      <b/>
      <sz val="11"/>
      <color rgb="FF1F1F1F"/>
      <name val="Arial"/>
      <family val="2"/>
      <charset val="238"/>
    </font>
    <font>
      <sz val="16"/>
      <color theme="2" tint="-0.749992370372631"/>
      <name val="Aptos Narrow"/>
      <family val="2"/>
      <scheme val="minor"/>
    </font>
  </fonts>
  <fills count="5">
    <fill>
      <patternFill patternType="none"/>
    </fill>
    <fill>
      <patternFill patternType="gray125"/>
    </fill>
    <fill>
      <patternFill patternType="solid">
        <fgColor theme="6"/>
        <bgColor theme="6"/>
      </patternFill>
    </fill>
    <fill>
      <patternFill patternType="solid">
        <fgColor rgb="FFE1E2F7"/>
        <bgColor indexed="64"/>
      </patternFill>
    </fill>
    <fill>
      <patternFill patternType="solid">
        <fgColor rgb="FF231D3B"/>
        <bgColor indexed="64"/>
      </patternFill>
    </fill>
  </fills>
  <borders count="3">
    <border>
      <left/>
      <right/>
      <top/>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s>
  <cellStyleXfs count="2">
    <xf numFmtId="0" fontId="0" fillId="0" borderId="0"/>
    <xf numFmtId="9" fontId="1" fillId="0" borderId="0" applyFont="0" applyFill="0" applyBorder="0" applyAlignment="0" applyProtection="0"/>
  </cellStyleXfs>
  <cellXfs count="37">
    <xf numFmtId="0" fontId="0" fillId="0" borderId="0" xfId="0"/>
    <xf numFmtId="9" fontId="0" fillId="0" borderId="0" xfId="0" applyNumberFormat="1"/>
    <xf numFmtId="164" fontId="0" fillId="0" borderId="0" xfId="0" applyNumberFormat="1"/>
    <xf numFmtId="9" fontId="0" fillId="0" borderId="0" xfId="1" applyFont="1"/>
    <xf numFmtId="14" fontId="0" fillId="0" borderId="0" xfId="0" applyNumberFormat="1"/>
    <xf numFmtId="0" fontId="0" fillId="0" borderId="0" xfId="0" pivotButton="1"/>
    <xf numFmtId="0" fontId="0" fillId="0" borderId="0" xfId="0" applyAlignment="1">
      <alignment horizontal="left"/>
    </xf>
    <xf numFmtId="164" fontId="3" fillId="0" borderId="0" xfId="0" applyNumberFormat="1" applyFont="1"/>
    <xf numFmtId="0" fontId="2" fillId="2" borderId="1" xfId="0" applyFont="1" applyFill="1" applyBorder="1"/>
    <xf numFmtId="0" fontId="2" fillId="2" borderId="2" xfId="0" applyFont="1" applyFill="1" applyBorder="1"/>
    <xf numFmtId="14" fontId="2" fillId="2" borderId="1" xfId="0" applyNumberFormat="1" applyFont="1" applyFill="1" applyBorder="1"/>
    <xf numFmtId="164" fontId="2" fillId="2" borderId="1" xfId="0" applyNumberFormat="1" applyFont="1" applyFill="1" applyBorder="1"/>
    <xf numFmtId="9" fontId="2" fillId="2" borderId="1" xfId="1" applyFont="1" applyFill="1" applyBorder="1"/>
    <xf numFmtId="165" fontId="0" fillId="0" borderId="0" xfId="0" applyNumberFormat="1"/>
    <xf numFmtId="0" fontId="0" fillId="3" borderId="0" xfId="0" applyFill="1"/>
    <xf numFmtId="164" fontId="0" fillId="3" borderId="0" xfId="0" applyNumberFormat="1" applyFill="1"/>
    <xf numFmtId="9" fontId="0" fillId="3" borderId="0" xfId="1" applyFont="1" applyFill="1" applyAlignment="1"/>
    <xf numFmtId="164" fontId="0" fillId="3" borderId="0" xfId="1" applyNumberFormat="1" applyFont="1" applyFill="1" applyAlignment="1"/>
    <xf numFmtId="0" fontId="5" fillId="3" borderId="0" xfId="0" applyFont="1" applyFill="1"/>
    <xf numFmtId="0" fontId="6" fillId="3" borderId="0" xfId="0" applyFont="1" applyFill="1" applyAlignment="1">
      <alignment vertical="center"/>
    </xf>
    <xf numFmtId="0" fontId="7" fillId="0" borderId="0" xfId="0" applyFont="1" applyAlignment="1">
      <alignment vertical="center" readingOrder="1"/>
    </xf>
    <xf numFmtId="0" fontId="8" fillId="0" borderId="0" xfId="0" applyFont="1" applyAlignment="1">
      <alignment horizontal="left" vertical="center" indent="1" readingOrder="1"/>
    </xf>
    <xf numFmtId="0" fontId="0" fillId="3" borderId="0" xfId="0" applyFill="1" applyAlignment="1">
      <alignment vertical="center"/>
    </xf>
    <xf numFmtId="0" fontId="9" fillId="3" borderId="0" xfId="0" applyFont="1" applyFill="1" applyAlignment="1">
      <alignment vertical="center"/>
    </xf>
    <xf numFmtId="0" fontId="6" fillId="4" borderId="0" xfId="0" applyFont="1" applyFill="1" applyAlignment="1">
      <alignment vertical="center"/>
    </xf>
    <xf numFmtId="0" fontId="0" fillId="4" borderId="0" xfId="0" applyFill="1"/>
    <xf numFmtId="164" fontId="0" fillId="4" borderId="0" xfId="0" applyNumberFormat="1" applyFill="1"/>
    <xf numFmtId="10" fontId="0" fillId="0" borderId="0" xfId="0" applyNumberFormat="1"/>
    <xf numFmtId="9" fontId="0" fillId="0" borderId="0" xfId="0" applyNumberFormat="1" applyAlignment="1">
      <alignment horizontal="left"/>
    </xf>
    <xf numFmtId="14" fontId="0" fillId="0" borderId="1" xfId="0" applyNumberFormat="1" applyBorder="1"/>
    <xf numFmtId="0" fontId="0" fillId="0" borderId="1" xfId="0" applyBorder="1"/>
    <xf numFmtId="164" fontId="0" fillId="0" borderId="1" xfId="0" applyNumberFormat="1" applyBorder="1"/>
    <xf numFmtId="9" fontId="0" fillId="0" borderId="1" xfId="1" applyFont="1" applyFill="1" applyBorder="1"/>
    <xf numFmtId="0" fontId="0" fillId="0" borderId="2" xfId="0" applyBorder="1"/>
    <xf numFmtId="0" fontId="6" fillId="3" borderId="0" xfId="0" applyFont="1" applyFill="1" applyAlignment="1">
      <alignment horizontal="center" vertical="center"/>
    </xf>
    <xf numFmtId="0" fontId="0" fillId="4" borderId="0" xfId="0" applyFill="1" applyAlignment="1">
      <alignment horizontal="center" vertical="center"/>
    </xf>
    <xf numFmtId="0" fontId="0" fillId="0" borderId="0" xfId="0" applyNumberFormat="1"/>
  </cellXfs>
  <cellStyles count="2">
    <cellStyle name="Normal" xfId="0" builtinId="0"/>
    <cellStyle name="Per cent" xfId="1" builtinId="5"/>
  </cellStyles>
  <dxfs count="140">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0" formatCode="General"/>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0" formatCode="General"/>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0" formatCode="General"/>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0" formatCode="General"/>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0" formatCode="General"/>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0" formatCode="General"/>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0" formatCode="General"/>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0" formatCode="General"/>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0" formatCode="General"/>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0" formatCode="General"/>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0" formatCode="General"/>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numFmt numFmtId="165" formatCode="_-* #,##0\ [$zł-415]_-;\-* #,##0\ [$zł-415]_-;_-* &quot;-&quot;??\ [$zł-415]_-;_-@_-"/>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outline="0">
        <left/>
        <right style="thin">
          <color theme="6" tint="0.39997558519241921"/>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Aptos Narrow"/>
        <family val="2"/>
        <scheme val="minor"/>
      </font>
      <numFmt numFmtId="164" formatCode="_-* #,##0.00\ [$zł-415]_-;\-* #,##0.00\ [$zł-415]_-;_-* &quot;-&quot;??\ [$zł-415]_-;_-@_-"/>
      <fill>
        <patternFill patternType="none">
          <fgColor indexed="64"/>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Aptos Narrow"/>
        <family val="2"/>
        <scheme val="minor"/>
      </font>
      <numFmt numFmtId="164" formatCode="_-* #,##0.00\ [$zł-415]_-;\-* #,##0.00\ [$zł-415]_-;_-* &quot;-&quot;??\ [$zł-415]_-;_-@_-"/>
      <fill>
        <patternFill patternType="none">
          <fgColor indexed="64"/>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Aptos Narrow"/>
        <family val="2"/>
        <scheme val="minor"/>
      </font>
      <numFmt numFmtId="164" formatCode="_-* #,##0.00\ [$zł-415]_-;\-* #,##0.00\ [$zł-415]_-;_-* &quot;-&quot;??\ [$zł-415]_-;_-@_-"/>
      <fill>
        <patternFill patternType="none">
          <fgColor indexed="64"/>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Aptos Narrow"/>
        <family val="2"/>
        <scheme val="minor"/>
      </font>
      <numFmt numFmtId="164" formatCode="_-* #,##0.00\ [$zł-415]_-;\-* #,##0.00\ [$zł-415]_-;_-* &quot;-&quot;??\ [$zł-415]_-;_-@_-"/>
      <fill>
        <patternFill patternType="none">
          <fgColor indexed="64"/>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Aptos Narrow"/>
        <family val="2"/>
        <scheme val="minor"/>
      </font>
      <numFmt numFmtId="164" formatCode="_-* #,##0.00\ [$zł-415]_-;\-* #,##0.00\ [$zł-415]_-;_-* &quot;-&quot;??\ [$zł-415]_-;_-@_-"/>
      <fill>
        <patternFill patternType="none">
          <fgColor indexed="64"/>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Aptos Narrow"/>
        <family val="2"/>
        <scheme val="minor"/>
      </font>
      <numFmt numFmtId="164" formatCode="_-* #,##0.00\ [$zł-415]_-;\-* #,##0.00\ [$zł-415]_-;_-* &quot;-&quot;??\ [$zł-415]_-;_-@_-"/>
      <fill>
        <patternFill patternType="none">
          <fgColor indexed="64"/>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Aptos Narrow"/>
        <family val="2"/>
        <scheme val="minor"/>
      </font>
      <numFmt numFmtId="164" formatCode="_-* #,##0.00\ [$zł-415]_-;\-* #,##0.00\ [$zł-415]_-;_-* &quot;-&quot;??\ [$zł-415]_-;_-@_-"/>
      <fill>
        <patternFill patternType="none">
          <fgColor indexed="64"/>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Aptos Narrow"/>
        <family val="2"/>
        <scheme val="minor"/>
      </font>
      <numFmt numFmtId="164" formatCode="_-* #,##0.00\ [$zł-415]_-;\-* #,##0.00\ [$zł-415]_-;_-* &quot;-&quot;??\ [$zł-415]_-;_-@_-"/>
      <fill>
        <patternFill patternType="none">
          <fgColor indexed="64"/>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Aptos Narrow"/>
        <family val="2"/>
        <scheme val="minor"/>
      </font>
      <numFmt numFmtId="19" formatCode="dd/mm/yyyy"/>
      <fill>
        <patternFill patternType="none">
          <fgColor indexed="64"/>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Aptos Narrow"/>
        <family val="2"/>
        <scheme val="minor"/>
      </font>
      <numFmt numFmtId="19" formatCode="dd/mm/yyyy"/>
      <fill>
        <patternFill patternType="none">
          <fgColor indexed="64"/>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Aptos Narrow"/>
        <family val="2"/>
        <scheme val="minor"/>
      </font>
      <numFmt numFmtId="19" formatCode="dd/mm/yyyy"/>
      <fill>
        <patternFill patternType="none">
          <fgColor indexed="64"/>
          <bgColor auto="1"/>
        </patternFill>
      </fill>
      <border diagonalUp="0" diagonalDown="0" outline="0">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Aptos Narrow"/>
        <family val="2"/>
        <scheme val="minor"/>
      </font>
      <numFmt numFmtId="19" formatCode="dd/mm/yyyy"/>
      <fill>
        <patternFill patternType="none">
          <fgColor indexed="64"/>
          <bgColor auto="1"/>
        </patternFill>
      </fill>
      <border diagonalUp="0" diagonalDown="0" outline="0">
        <left/>
        <right/>
        <top style="thin">
          <color theme="6" tint="0.39997558519241921"/>
        </top>
        <bottom style="thin">
          <color theme="6" tint="0.39997558519241921"/>
        </bottom>
      </border>
    </dxf>
    <dxf>
      <border outline="0">
        <left style="thin">
          <color theme="6" tint="0.39997558519241921"/>
        </left>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dxf>
    <dxf>
      <font>
        <b/>
        <i val="0"/>
        <strike val="0"/>
        <condense val="0"/>
        <extend val="0"/>
        <outline val="0"/>
        <shadow val="0"/>
        <u val="none"/>
        <vertAlign val="baseline"/>
        <sz val="11"/>
        <color theme="0"/>
        <name val="Aptos Narrow"/>
        <family val="2"/>
        <scheme val="minor"/>
      </font>
      <numFmt numFmtId="164" formatCode="_-* #,##0.00\ [$zł-415]_-;\-* #,##0.00\ [$zł-415]_-;_-* &quot;-&quot;??\ [$zł-415]_-;_-@_-"/>
      <fill>
        <patternFill patternType="solid">
          <fgColor theme="6"/>
          <bgColor theme="6"/>
        </patternFill>
      </fill>
    </dxf>
    <dxf>
      <border diagonalUp="0" diagonalDown="0">
        <left/>
        <right style="thin">
          <color theme="6" tint="0.39997558519241921"/>
        </right>
        <top style="thin">
          <color theme="6" tint="0.39997558519241921"/>
        </top>
        <bottom style="thin">
          <color theme="6" tint="0.39997558519241921"/>
        </bottom>
        <vertical/>
        <horizontal/>
      </border>
    </dxf>
    <dxf>
      <numFmt numFmtId="164" formatCode="_-* #,##0.00\ [$zł-415]_-;\-* #,##0.00\ [$zł-415]_-;_-* &quot;-&quot;??\ [$zł-415]_-;_-@_-"/>
    </dxf>
    <dxf>
      <numFmt numFmtId="164" formatCode="_-* #,##0.00\ [$zł-415]_-;\-* #,##0.00\ [$zł-415]_-;_-* &quot;-&quot;??\ [$zł-415]_-;_-@_-"/>
    </dxf>
    <dxf>
      <numFmt numFmtId="164" formatCode="_-* #,##0.00\ [$zł-415]_-;\-* #,##0.00\ [$zł-415]_-;_-* &quot;-&quot;??\ [$zł-415]_-;_-@_-"/>
    </dxf>
    <dxf>
      <numFmt numFmtId="164" formatCode="_-* #,##0.00\ [$zł-415]_-;\-* #,##0.00\ [$zł-415]_-;_-* &quot;-&quot;??\ [$zł-415]_-;_-@_-"/>
    </dxf>
    <dxf>
      <numFmt numFmtId="13" formatCode="0%"/>
    </dxf>
    <dxf>
      <numFmt numFmtId="0" formatCode="General"/>
    </dxf>
    <dxf>
      <numFmt numFmtId="164" formatCode="_-* #,##0.00\ [$zł-415]_-;\-* #,##0.00\ [$zł-415]_-;_-* &quot;-&quot;??\ [$zł-415]_-;_-@_-"/>
    </dxf>
    <dxf>
      <numFmt numFmtId="164" formatCode="_-* #,##0.00\ [$zł-415]_-;\-* #,##0.00\ [$zł-415]_-;_-* &quot;-&quot;??\ [$zł-415]_-;_-@_-"/>
    </dxf>
    <dxf>
      <numFmt numFmtId="19" formatCode="dd/mm/yyyy"/>
    </dxf>
    <dxf>
      <numFmt numFmtId="19" formatCode="dd/mm/yyyy"/>
    </dxf>
    <dxf>
      <numFmt numFmtId="19" formatCode="dd/mm/yyyy"/>
    </dxf>
    <dxf>
      <fill>
        <patternFill>
          <bgColor rgb="FFBEBAF8"/>
        </patternFill>
      </fill>
    </dxf>
  </dxfs>
  <tableStyles count="1" defaultTableStyle="TableStyleMedium2" defaultPivotStyle="PivotStyleLight16">
    <tableStyle name="my_style" pivot="0" table="0" count="5" xr9:uid="{900C9124-C220-41A2-9DEF-D04280D8F6CA}">
      <tableStyleElement type="wholeTable" dxfId="139"/>
    </tableStyle>
  </tableStyles>
  <colors>
    <mruColors>
      <color rgb="FFD1D3F3"/>
      <color rgb="FFBEBAF8"/>
      <color rgb="FF6C0000"/>
      <color rgb="FFBF5959"/>
      <color rgb="FF231D3B"/>
      <color rgb="FF302852"/>
      <color rgb="FF7075DA"/>
      <color rgb="FFECECEC"/>
      <color rgb="FF76AE7F"/>
      <color rgb="FFA6A9E8"/>
    </mruColors>
  </colors>
  <extLst>
    <ext xmlns:x14="http://schemas.microsoft.com/office/spreadsheetml/2009/9/main" uri="{46F421CA-312F-682f-3DD2-61675219B42D}">
      <x14:dxfs count="4">
        <dxf>
          <fill>
            <patternFill>
              <bgColor theme="0"/>
            </patternFill>
          </fill>
        </dxf>
        <dxf>
          <fill>
            <patternFill>
              <bgColor rgb="FFD1D3F3"/>
            </patternFill>
          </fill>
        </dxf>
        <dxf>
          <fill>
            <patternFill>
              <bgColor rgb="FFD1D3F3"/>
            </patternFill>
          </fill>
        </dxf>
        <dxf>
          <fill>
            <patternFill>
              <bgColor rgb="FFECECEC"/>
            </patternFill>
          </fill>
        </dxf>
      </x14:dxfs>
    </ext>
    <ext xmlns:x14="http://schemas.microsoft.com/office/spreadsheetml/2009/9/main" uri="{EB79DEF2-80B8-43e5-95BD-54CBDDF9020C}">
      <x14:slicerStyles defaultSlicerStyle="SlicerStyleLight1">
        <x14:slicerStyle name="my_style">
          <x14:slicerStyleElements>
            <x14:slicerStyleElement type="unselectedItemWithData" dxfId="3"/>
            <x14:slicerStyleElement type="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[analiza_sprzedaży_produków_zagrożonych.xlsx]Tabele przestawne!P1t2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'Tabele przestawne'!$B$18</c:f>
              <c:strCache>
                <c:ptCount val="1"/>
                <c:pt idx="0">
                  <c:v>Odzysk rzeczywisty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'Tabele przestawne'!$A$19:$A$23</c:f>
              <c:strCache>
                <c:ptCount val="4"/>
                <c:pt idx="0">
                  <c:v>IV</c:v>
                </c:pt>
                <c:pt idx="1">
                  <c:v>V</c:v>
                </c:pt>
                <c:pt idx="2">
                  <c:v>VI</c:v>
                </c:pt>
                <c:pt idx="3">
                  <c:v>VII</c:v>
                </c:pt>
              </c:strCache>
            </c:strRef>
          </c:cat>
          <c:val>
            <c:numRef>
              <c:f>'Tabele przestawne'!$B$19:$B$23</c:f>
              <c:numCache>
                <c:formatCode>_-* #,##0.00\ [$zł-415]_-;\-* #,##0.00\ [$zł-415]_-;_-* "-"??\ [$zł-415]_-;_-@_-</c:formatCode>
                <c:ptCount val="4"/>
                <c:pt idx="0">
                  <c:v>329.952</c:v>
                </c:pt>
                <c:pt idx="1">
                  <c:v>453.13400000000001</c:v>
                </c:pt>
                <c:pt idx="2">
                  <c:v>206.81799999999998</c:v>
                </c:pt>
                <c:pt idx="3">
                  <c:v>290.726</c:v>
                </c:pt>
              </c:numCache>
            </c:numRef>
          </c:val>
          <c:extLst>
            <c:ext xmlns:c16="http://schemas.microsoft.com/office/drawing/2014/chart" uri="{C3380CC4-5D6E-409C-BE32-E72D297353CC}">
              <c16:uniqueId val="{00000000-311F-45C0-8BF1-97320E82284E}"/>
            </c:ext>
          </c:extLst>
        </c:ser>
        <c:ser>
          <c:idx val="1"/>
          <c:order val="1"/>
          <c:tx>
            <c:strRef>
              <c:f>'Tabele przestawne'!$C$18</c:f>
              <c:strCache>
                <c:ptCount val="1"/>
                <c:pt idx="0">
                  <c:v>Łączne koszty strat i przecen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'Tabele przestawne'!$A$19:$A$23</c:f>
              <c:strCache>
                <c:ptCount val="4"/>
                <c:pt idx="0">
                  <c:v>IV</c:v>
                </c:pt>
                <c:pt idx="1">
                  <c:v>V</c:v>
                </c:pt>
                <c:pt idx="2">
                  <c:v>VI</c:v>
                </c:pt>
                <c:pt idx="3">
                  <c:v>VII</c:v>
                </c:pt>
              </c:strCache>
            </c:strRef>
          </c:cat>
          <c:val>
            <c:numRef>
              <c:f>'Tabele przestawne'!$C$19:$C$23</c:f>
              <c:numCache>
                <c:formatCode>_-* #,##0.00\ [$zł-415]_-;\-* #,##0.00\ [$zł-415]_-;_-* "-"??\ [$zł-415]_-;_-@_-</c:formatCode>
                <c:ptCount val="4"/>
                <c:pt idx="0">
                  <c:v>34.718000000000004</c:v>
                </c:pt>
                <c:pt idx="1">
                  <c:v>52.356000000000009</c:v>
                </c:pt>
                <c:pt idx="2">
                  <c:v>66.451999999999998</c:v>
                </c:pt>
                <c:pt idx="3">
                  <c:v>111.45400000000001</c:v>
                </c:pt>
              </c:numCache>
            </c:numRef>
          </c:val>
          <c:extLst>
            <c:ext xmlns:c16="http://schemas.microsoft.com/office/drawing/2014/chart" uri="{C3380CC4-5D6E-409C-BE32-E72D297353CC}">
              <c16:uniqueId val="{00000001-311F-45C0-8BF1-97320E82284E}"/>
            </c:ext>
          </c:extLst>
        </c:ser>
        <c:dLbls>
          <c:dLblPos val="ctr"/>
          <c:showLegendKey val="0"/>
          <c:showVal val="1"/>
          <c:showCatName val="0"/>
          <c:showSerName val="0"/>
          <c:showPercent val="0"/>
          <c:showBubbleSize val="0"/>
        </c:dLbls>
        <c:gapWidth val="150"/>
        <c:overlap val="100"/>
        <c:axId val="1452323743"/>
        <c:axId val="1464960751"/>
      </c:barChart>
      <c:catAx>
        <c:axId val="145232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64960751"/>
        <c:crosses val="autoZero"/>
        <c:auto val="1"/>
        <c:lblAlgn val="ctr"/>
        <c:lblOffset val="100"/>
        <c:noMultiLvlLbl val="0"/>
      </c:catAx>
      <c:valAx>
        <c:axId val="1464960751"/>
        <c:scaling>
          <c:orientation val="minMax"/>
        </c:scaling>
        <c:delete val="0"/>
        <c:axPos val="l"/>
        <c:majorGridlines>
          <c:spPr>
            <a:ln w="9525" cap="flat" cmpd="sng" algn="ctr">
              <a:solidFill>
                <a:schemeClr val="tx1">
                  <a:lumMod val="15000"/>
                  <a:lumOff val="85000"/>
                </a:schemeClr>
              </a:solidFill>
              <a:round/>
            </a:ln>
            <a:effectLst/>
          </c:spPr>
        </c:majorGridlines>
        <c:numFmt formatCode="_-* #,##0.00\ [$zł-415]_-;\-* #,##0.00\ [$zł-415]_-;_-* &quot;-&quot;??\ [$zł-415]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5232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[analiza_sprzedaży_produków_zagrożonych.xlsx]Tabele przestawne!P1t1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'Tabele przestawne'!$B$5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D7-42AD-8DAA-5FF2556C38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D7-42AD-8DAA-5FF2556C38AA}"/>
              </c:ext>
            </c:extLst>
          </c:dPt>
          <c:cat>
            <c:strRef>
              <c:f>'Tabele przestawne'!$A$6:$A$7</c:f>
              <c:strCache>
                <c:ptCount val="2"/>
                <c:pt idx="0">
                  <c:v>Odzysk z przecen</c:v>
                </c:pt>
                <c:pt idx="1">
                  <c:v>Odzysk bez przecen</c:v>
                </c:pt>
              </c:strCache>
            </c:strRef>
          </c:cat>
          <c:val>
            <c:numRef>
              <c:f>'Tabele przestawne'!$B$6:$B$7</c:f>
              <c:numCache>
                <c:formatCode>_-* #,##0.00\ [$zł-415]_-;\-* #,##0.00\ [$zł-415]_-;_-* "-"??\ [$zł-415]_-;_-@_-</c:formatCode>
                <c:ptCount val="2"/>
                <c:pt idx="0">
                  <c:v>477.31</c:v>
                </c:pt>
                <c:pt idx="1">
                  <c:v>803.32000000000016</c:v>
                </c:pt>
              </c:numCache>
            </c:numRef>
          </c:val>
          <c:extLst>
            <c:ext xmlns:c16="http://schemas.microsoft.com/office/drawing/2014/chart" uri="{C3380CC4-5D6E-409C-BE32-E72D297353CC}">
              <c16:uniqueId val="{00000000-5E17-4B62-BD8D-50F9622874B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[analiza_sprzedaży_produków_zagrożonych.xlsx]Tabele przestawne!PivotTable6</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'Tabele przestawne'!$B$36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'Tabele przestawne'!$A$37:$A$41</c:f>
              <c:strCache>
                <c:ptCount val="4"/>
                <c:pt idx="0">
                  <c:v>IV</c:v>
                </c:pt>
                <c:pt idx="1">
                  <c:v>V</c:v>
                </c:pt>
                <c:pt idx="2">
                  <c:v>VI</c:v>
                </c:pt>
                <c:pt idx="3">
                  <c:v>VII</c:v>
                </c:pt>
              </c:strCache>
            </c:strRef>
          </c:cat>
          <c:val>
            <c:numRef>
              <c:f>'Tabele przestawne'!$B$37:$B$41</c:f>
              <c:numCache>
                <c:formatCode>_-* #,##0.00\ [$zł-415]_-;\-* #,##0.00\ [$zł-415]_-;_-* "-"??\ [$zł-415]_-;_-@_-</c:formatCode>
                <c:ptCount val="4"/>
                <c:pt idx="0">
                  <c:v>100.55200000000001</c:v>
                </c:pt>
                <c:pt idx="1">
                  <c:v>78.533999999999992</c:v>
                </c:pt>
                <c:pt idx="2">
                  <c:v>99.048000000000002</c:v>
                </c:pt>
                <c:pt idx="3">
                  <c:v>199.17599999999999</c:v>
                </c:pt>
              </c:numCache>
            </c:numRef>
          </c:val>
          <c:smooth val="0"/>
          <c:extLst>
            <c:ext xmlns:c16="http://schemas.microsoft.com/office/drawing/2014/chart" uri="{C3380CC4-5D6E-409C-BE32-E72D297353CC}">
              <c16:uniqueId val="{00000000-2066-4727-805F-C87AEF82030A}"/>
            </c:ext>
          </c:extLst>
        </c:ser>
        <c:dLbls>
          <c:showLegendKey val="0"/>
          <c:showVal val="0"/>
          <c:showCatName val="0"/>
          <c:showSerName val="0"/>
          <c:showPercent val="0"/>
          <c:showBubbleSize val="0"/>
        </c:dLbls>
        <c:marker val="1"/>
        <c:smooth val="0"/>
        <c:axId val="1267667136"/>
        <c:axId val="2128397776"/>
      </c:lineChart>
      <c:catAx>
        <c:axId val="126766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2128397776"/>
        <c:crosses val="autoZero"/>
        <c:auto val="1"/>
        <c:lblAlgn val="ctr"/>
        <c:lblOffset val="100"/>
        <c:noMultiLvlLbl val="0"/>
      </c:catAx>
      <c:valAx>
        <c:axId val="2128397776"/>
        <c:scaling>
          <c:orientation val="minMax"/>
        </c:scaling>
        <c:delete val="0"/>
        <c:axPos val="l"/>
        <c:majorGridlines>
          <c:spPr>
            <a:ln w="9525" cap="flat" cmpd="sng" algn="ctr">
              <a:solidFill>
                <a:schemeClr val="tx1">
                  <a:lumMod val="15000"/>
                  <a:lumOff val="85000"/>
                </a:schemeClr>
              </a:solidFill>
              <a:round/>
            </a:ln>
            <a:effectLst/>
          </c:spPr>
        </c:majorGridlines>
        <c:numFmt formatCode="_-* #,##0.00\ [$zł-415]_-;\-* #,##0.00\ [$zł-415]_-;_-* &quot;-&quot;??\ [$zł-415]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26766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[analiza_sprzedaży_produków_zagrożonych.xlsx]Tabele przestawne!PivotTable1</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'Tabele przestawne'!$B$117</c:f>
              <c:strCache>
                <c:ptCount val="1"/>
                <c:pt idx="0">
                  <c:v>Total</c:v>
                </c:pt>
              </c:strCache>
            </c:strRef>
          </c:tx>
          <c:spPr>
            <a:solidFill>
              <a:schemeClr val="accent1"/>
            </a:solidFill>
            <a:ln>
              <a:noFill/>
            </a:ln>
            <a:effectLst/>
          </c:spPr>
          <c:invertIfNegative val="0"/>
          <c:cat>
            <c:strRef>
              <c:f>'Tabele przestawne'!$A$118:$A$122</c:f>
              <c:strCache>
                <c:ptCount val="4"/>
                <c:pt idx="0">
                  <c:v>Słodycze</c:v>
                </c:pt>
                <c:pt idx="1">
                  <c:v>Fixy</c:v>
                </c:pt>
                <c:pt idx="2">
                  <c:v>Zupy w proszku</c:v>
                </c:pt>
                <c:pt idx="3">
                  <c:v>Dania instant</c:v>
                </c:pt>
              </c:strCache>
            </c:strRef>
          </c:cat>
          <c:val>
            <c:numRef>
              <c:f>'Tabele przestawne'!$B$118:$B$122</c:f>
              <c:numCache>
                <c:formatCode>0.00%</c:formatCode>
                <c:ptCount val="4"/>
                <c:pt idx="0">
                  <c:v>0.35920509936257966</c:v>
                </c:pt>
                <c:pt idx="1">
                  <c:v>0.25434320709911262</c:v>
                </c:pt>
                <c:pt idx="2">
                  <c:v>0.22422197225346832</c:v>
                </c:pt>
                <c:pt idx="3">
                  <c:v>0.1622297212848394</c:v>
                </c:pt>
              </c:numCache>
            </c:numRef>
          </c:val>
          <c:extLst>
            <c:ext xmlns:c16="http://schemas.microsoft.com/office/drawing/2014/chart" uri="{C3380CC4-5D6E-409C-BE32-E72D297353CC}">
              <c16:uniqueId val="{00000000-AC24-4645-BE4D-34F390F37C96}"/>
            </c:ext>
          </c:extLst>
        </c:ser>
        <c:dLbls>
          <c:showLegendKey val="0"/>
          <c:showVal val="0"/>
          <c:showCatName val="0"/>
          <c:showSerName val="0"/>
          <c:showPercent val="0"/>
          <c:showBubbleSize val="0"/>
        </c:dLbls>
        <c:gapWidth val="182"/>
        <c:axId val="1186476704"/>
        <c:axId val="1912241552"/>
      </c:barChart>
      <c:catAx>
        <c:axId val="1186476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912241552"/>
        <c:crosses val="autoZero"/>
        <c:auto val="1"/>
        <c:lblAlgn val="ctr"/>
        <c:lblOffset val="100"/>
        <c:noMultiLvlLbl val="0"/>
      </c:catAx>
      <c:valAx>
        <c:axId val="191224155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18647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[analiza_sprzedaży_produków_zagrożonych.xlsx]Tabele przestawne!PivotTable2</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'Tabele przestawne'!$B$142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16-4586-A6D9-4097CF7220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16-4586-A6D9-4097CF7220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816-4586-A6D9-4097CF72204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816-4586-A6D9-4097CF72204C}"/>
              </c:ext>
            </c:extLst>
          </c:dPt>
          <c:cat>
            <c:strRef>
              <c:f>'Tabele przestawne'!$A$143:$A$145</c:f>
              <c:strCache>
                <c:ptCount val="2"/>
                <c:pt idx="0">
                  <c:v>Słaba sprzedaż</c:v>
                </c:pt>
                <c:pt idx="1">
                  <c:v>Błędna ocena popytu</c:v>
                </c:pt>
              </c:strCache>
            </c:strRef>
          </c:cat>
          <c:val>
            <c:numRef>
              <c:f>'Tabele przestawne'!$B$143:$B$145</c:f>
              <c:numCache>
                <c:formatCode>_-* #,##0.00\ [$zł-415]_-;\-* #,##0.00\ [$zł-415]_-;_-* "-"??\ [$zł-415]_-;_-@_-</c:formatCode>
                <c:ptCount val="2"/>
                <c:pt idx="0">
                  <c:v>57.45</c:v>
                </c:pt>
                <c:pt idx="1">
                  <c:v>22.560000000000002</c:v>
                </c:pt>
              </c:numCache>
            </c:numRef>
          </c:val>
          <c:extLst>
            <c:ext xmlns:c16="http://schemas.microsoft.com/office/drawing/2014/chart" uri="{C3380CC4-5D6E-409C-BE32-E72D297353CC}">
              <c16:uniqueId val="{00000000-B5F9-4062-B2D2-0BA9A3038F2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[analiza_sprzedaży_produków_zagrożonych.xlsx]Tabele przestawne!PivotTable10</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'Tabele przestawne'!$B$161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'Tabele przestawne'!$A$162:$A$166</c:f>
              <c:strCache>
                <c:ptCount val="4"/>
                <c:pt idx="0">
                  <c:v>IV</c:v>
                </c:pt>
                <c:pt idx="1">
                  <c:v>V</c:v>
                </c:pt>
                <c:pt idx="2">
                  <c:v>VI</c:v>
                </c:pt>
                <c:pt idx="3">
                  <c:v>VII</c:v>
                </c:pt>
              </c:strCache>
            </c:strRef>
          </c:cat>
          <c:val>
            <c:numRef>
              <c:f>'Tabele przestawne'!$B$162:$B$166</c:f>
              <c:numCache>
                <c:formatCode>_-* #,##0.00\ [$zł-415]_-;\-* #,##0.00\ [$zł-415]_-;_-* "-"??\ [$zł-415]_-;_-@_-</c:formatCode>
                <c:ptCount val="4"/>
                <c:pt idx="0">
                  <c:v>9.58</c:v>
                </c:pt>
                <c:pt idx="1">
                  <c:v>0</c:v>
                </c:pt>
                <c:pt idx="2">
                  <c:v>41.69</c:v>
                </c:pt>
                <c:pt idx="3">
                  <c:v>28.740000000000002</c:v>
                </c:pt>
              </c:numCache>
            </c:numRef>
          </c:val>
          <c:smooth val="0"/>
          <c:extLst>
            <c:ext xmlns:c16="http://schemas.microsoft.com/office/drawing/2014/chart" uri="{C3380CC4-5D6E-409C-BE32-E72D297353CC}">
              <c16:uniqueId val="{00000004-7D58-4CAC-9FE5-3A0C226B59C3}"/>
            </c:ext>
          </c:extLst>
        </c:ser>
        <c:dLbls>
          <c:showLegendKey val="0"/>
          <c:showVal val="0"/>
          <c:showCatName val="0"/>
          <c:showSerName val="0"/>
          <c:showPercent val="0"/>
          <c:showBubbleSize val="0"/>
        </c:dLbls>
        <c:marker val="1"/>
        <c:smooth val="0"/>
        <c:axId val="1227829424"/>
        <c:axId val="1912326512"/>
      </c:lineChart>
      <c:catAx>
        <c:axId val="122782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912326512"/>
        <c:crosses val="autoZero"/>
        <c:auto val="1"/>
        <c:lblAlgn val="ctr"/>
        <c:lblOffset val="100"/>
        <c:noMultiLvlLbl val="0"/>
      </c:catAx>
      <c:valAx>
        <c:axId val="1912326512"/>
        <c:scaling>
          <c:orientation val="minMax"/>
        </c:scaling>
        <c:delete val="0"/>
        <c:axPos val="l"/>
        <c:majorGridlines>
          <c:spPr>
            <a:ln w="9525" cap="flat" cmpd="sng" algn="ctr">
              <a:solidFill>
                <a:schemeClr val="tx1">
                  <a:lumMod val="15000"/>
                  <a:lumOff val="85000"/>
                </a:schemeClr>
              </a:solidFill>
              <a:round/>
            </a:ln>
            <a:effectLst/>
          </c:spPr>
        </c:majorGridlines>
        <c:numFmt formatCode="_-* #,##0.00\ [$zł-415]_-;\-* #,##0.00\ [$zł-415]_-;_-* &quot;-&quot;??\ [$zł-415]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22782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[analiza_sprzedaży_produków_zagrożonych.xlsx]Tabele przestawne!PivotTable12</c:name>
    <c:fmtId val="2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'Tabele przestawne'!$B$56</c:f>
              <c:strCache>
                <c:ptCount val="1"/>
                <c:pt idx="0">
                  <c:v>Odzysk z przecen</c:v>
                </c:pt>
              </c:strCache>
            </c:strRef>
          </c:tx>
          <c:spPr>
            <a:solidFill>
              <a:schemeClr val="accent1"/>
            </a:solidFill>
            <a:ln>
              <a:noFill/>
            </a:ln>
            <a:effectLst/>
          </c:spPr>
          <c:invertIfNegative val="0"/>
          <c:cat>
            <c:strRef>
              <c:f>'Tabele przestawne'!$A$57:$A$59</c:f>
              <c:strCache>
                <c:ptCount val="2"/>
                <c:pt idx="0">
                  <c:v>20%</c:v>
                </c:pt>
                <c:pt idx="1">
                  <c:v>40%</c:v>
                </c:pt>
              </c:strCache>
            </c:strRef>
          </c:cat>
          <c:val>
            <c:numRef>
              <c:f>'Tabele przestawne'!$B$57:$B$59</c:f>
              <c:numCache>
                <c:formatCode>_-* #,##0.00\ [$zł-415]_-;\-* #,##0.00\ [$zł-415]_-;_-* "-"??\ [$zł-415]_-;_-@_-</c:formatCode>
                <c:ptCount val="2"/>
                <c:pt idx="0">
                  <c:v>319.76800000000003</c:v>
                </c:pt>
                <c:pt idx="1">
                  <c:v>157.54199999999997</c:v>
                </c:pt>
              </c:numCache>
            </c:numRef>
          </c:val>
          <c:extLst>
            <c:ext xmlns:c16="http://schemas.microsoft.com/office/drawing/2014/chart" uri="{C3380CC4-5D6E-409C-BE32-E72D297353CC}">
              <c16:uniqueId val="{00000000-2E7A-457C-83D7-78F720D7ADCA}"/>
            </c:ext>
          </c:extLst>
        </c:ser>
        <c:ser>
          <c:idx val="1"/>
          <c:order val="1"/>
          <c:tx>
            <c:strRef>
              <c:f>'Tabele przestawne'!$C$56</c:f>
              <c:strCache>
                <c:ptCount val="1"/>
                <c:pt idx="0">
                  <c:v>Koszt przecen</c:v>
                </c:pt>
              </c:strCache>
            </c:strRef>
          </c:tx>
          <c:spPr>
            <a:solidFill>
              <a:schemeClr val="accent2"/>
            </a:solidFill>
            <a:ln>
              <a:noFill/>
            </a:ln>
            <a:effectLst/>
          </c:spPr>
          <c:invertIfNegative val="0"/>
          <c:cat>
            <c:strRef>
              <c:f>'Tabele przestawne'!$A$57:$A$59</c:f>
              <c:strCache>
                <c:ptCount val="2"/>
                <c:pt idx="0">
                  <c:v>20%</c:v>
                </c:pt>
                <c:pt idx="1">
                  <c:v>40%</c:v>
                </c:pt>
              </c:strCache>
            </c:strRef>
          </c:cat>
          <c:val>
            <c:numRef>
              <c:f>'Tabele przestawne'!$C$57:$C$59</c:f>
              <c:numCache>
                <c:formatCode>_-* #,##0.00\ [$zł-415]_-;\-* #,##0.00\ [$zł-415]_-;_-* "-"??\ [$zł-415]_-;_-@_-</c:formatCode>
                <c:ptCount val="2"/>
                <c:pt idx="0">
                  <c:v>79.942000000000007</c:v>
                </c:pt>
                <c:pt idx="1">
                  <c:v>105.02800000000001</c:v>
                </c:pt>
              </c:numCache>
            </c:numRef>
          </c:val>
          <c:extLst>
            <c:ext xmlns:c16="http://schemas.microsoft.com/office/drawing/2014/chart" uri="{C3380CC4-5D6E-409C-BE32-E72D297353CC}">
              <c16:uniqueId val="{00000001-2E7A-457C-83D7-78F720D7ADCA}"/>
            </c:ext>
          </c:extLst>
        </c:ser>
        <c:dLbls>
          <c:showLegendKey val="0"/>
          <c:showVal val="0"/>
          <c:showCatName val="0"/>
          <c:showSerName val="0"/>
          <c:showPercent val="0"/>
          <c:showBubbleSize val="0"/>
        </c:dLbls>
        <c:gapWidth val="219"/>
        <c:overlap val="-27"/>
        <c:axId val="1281319632"/>
        <c:axId val="2128359856"/>
      </c:barChart>
      <c:catAx>
        <c:axId val="128131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2128359856"/>
        <c:crosses val="autoZero"/>
        <c:auto val="1"/>
        <c:lblAlgn val="ctr"/>
        <c:lblOffset val="100"/>
        <c:noMultiLvlLbl val="0"/>
      </c:catAx>
      <c:valAx>
        <c:axId val="2128359856"/>
        <c:scaling>
          <c:orientation val="minMax"/>
        </c:scaling>
        <c:delete val="0"/>
        <c:axPos val="l"/>
        <c:majorGridlines>
          <c:spPr>
            <a:ln w="9525" cap="flat" cmpd="sng" algn="ctr">
              <a:solidFill>
                <a:schemeClr val="tx1">
                  <a:lumMod val="15000"/>
                  <a:lumOff val="85000"/>
                </a:schemeClr>
              </a:solidFill>
              <a:round/>
            </a:ln>
            <a:effectLst/>
          </c:spPr>
        </c:majorGridlines>
        <c:numFmt formatCode="_-* #,##0.00\ [$zł-415]_-;\-* #,##0.00\ [$zł-415]_-;_-* &quot;-&quot;??\ [$zł-415]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28131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[analiza_sprzedaży_produków_zagrożonych.xlsx]Tabele przestawne!PivotTable11</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'Tabele przestawne'!$B$81</c:f>
              <c:strCache>
                <c:ptCount val="1"/>
                <c:pt idx="0">
                  <c:v>Total</c:v>
                </c:pt>
              </c:strCache>
            </c:strRef>
          </c:tx>
          <c:spPr>
            <a:solidFill>
              <a:schemeClr val="accent1"/>
            </a:solidFill>
            <a:ln>
              <a:noFill/>
            </a:ln>
            <a:effectLst/>
          </c:spPr>
          <c:invertIfNegative val="0"/>
          <c:cat>
            <c:strRef>
              <c:f>'Tabele przestawne'!$A$82:$A$87</c:f>
              <c:strCache>
                <c:ptCount val="5"/>
                <c:pt idx="0">
                  <c:v>Sosy w proszku</c:v>
                </c:pt>
                <c:pt idx="1">
                  <c:v>Dania instant</c:v>
                </c:pt>
                <c:pt idx="2">
                  <c:v>Zupy w proszku</c:v>
                </c:pt>
                <c:pt idx="3">
                  <c:v>Fixy</c:v>
                </c:pt>
                <c:pt idx="4">
                  <c:v>Słodycze</c:v>
                </c:pt>
              </c:strCache>
            </c:strRef>
          </c:cat>
          <c:val>
            <c:numRef>
              <c:f>'Tabele przestawne'!$B$82:$B$87</c:f>
              <c:numCache>
                <c:formatCode>0.00%</c:formatCode>
                <c:ptCount val="5"/>
                <c:pt idx="0">
                  <c:v>1.3302104439585132</c:v>
                </c:pt>
                <c:pt idx="1">
                  <c:v>1.3302104439585132</c:v>
                </c:pt>
                <c:pt idx="2">
                  <c:v>1.3302104439585132</c:v>
                </c:pt>
                <c:pt idx="3">
                  <c:v>0.96965962817800611</c:v>
                </c:pt>
                <c:pt idx="4">
                  <c:v>0.49882891648444233</c:v>
                </c:pt>
              </c:numCache>
            </c:numRef>
          </c:val>
          <c:extLst>
            <c:ext xmlns:c16="http://schemas.microsoft.com/office/drawing/2014/chart" uri="{C3380CC4-5D6E-409C-BE32-E72D297353CC}">
              <c16:uniqueId val="{00000000-62D2-4853-A2A6-733C86CB82C5}"/>
            </c:ext>
          </c:extLst>
        </c:ser>
        <c:dLbls>
          <c:showLegendKey val="0"/>
          <c:showVal val="0"/>
          <c:showCatName val="0"/>
          <c:showSerName val="0"/>
          <c:showPercent val="0"/>
          <c:showBubbleSize val="0"/>
        </c:dLbls>
        <c:gapWidth val="219"/>
        <c:overlap val="-27"/>
        <c:axId val="1413654000"/>
        <c:axId val="1409305104"/>
      </c:barChart>
      <c:catAx>
        <c:axId val="141365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09305104"/>
        <c:crosses val="autoZero"/>
        <c:auto val="1"/>
        <c:lblAlgn val="ctr"/>
        <c:lblOffset val="100"/>
        <c:noMultiLvlLbl val="0"/>
      </c:catAx>
      <c:valAx>
        <c:axId val="14093051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1365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[analiza_sprzedaży_produków_zagrożonych.xlsx]Tabele przestawne!P1t2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sz="1400" b="0" i="0" u="none" strike="noStrike" baseline="0"/>
              <a:t>Miesięczny trend odzysku i kosztów</a:t>
            </a:r>
            <a:endParaRPr lang="pl-PL"/>
          </a:p>
        </c:rich>
      </c:tx>
      <c:layout>
        <c:manualLayout>
          <c:xMode val="edge"/>
          <c:yMode val="edge"/>
          <c:x val="0.36942974570849801"/>
          <c:y val="2.17983651226158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6AE7F"/>
          </a:solidFill>
          <a:ln>
            <a:noFill/>
          </a:ln>
          <a:effectLst/>
        </c:spPr>
        <c:marker>
          <c:symbol val="none"/>
        </c:marker>
        <c:dLbl>
          <c:idx val="0"/>
          <c:numFmt formatCode="#,##0\ [$zł-415]"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numFmt formatCode="#,##0&quot; zł&quot;;\-#,##0&quot; zł&quot;;&quo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'Tabele przestawne'!$B$18</c:f>
              <c:strCache>
                <c:ptCount val="1"/>
                <c:pt idx="0">
                  <c:v>Odzysk rzeczywisty</c:v>
                </c:pt>
              </c:strCache>
            </c:strRef>
          </c:tx>
          <c:spPr>
            <a:solidFill>
              <a:srgbClr val="76AE7F"/>
            </a:solidFill>
            <a:ln>
              <a:noFill/>
            </a:ln>
            <a:effectLst/>
          </c:spPr>
          <c:invertIfNegative val="0"/>
          <c:dLbls>
            <c:numFmt formatCode="#,##0\ [$zł-415]"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'Tabele przestawne'!$A$19:$A$23</c:f>
              <c:strCache>
                <c:ptCount val="4"/>
                <c:pt idx="0">
                  <c:v>IV</c:v>
                </c:pt>
                <c:pt idx="1">
                  <c:v>V</c:v>
                </c:pt>
                <c:pt idx="2">
                  <c:v>VI</c:v>
                </c:pt>
                <c:pt idx="3">
                  <c:v>VII</c:v>
                </c:pt>
              </c:strCache>
            </c:strRef>
          </c:cat>
          <c:val>
            <c:numRef>
              <c:f>'Tabele przestawne'!$B$19:$B$23</c:f>
              <c:numCache>
                <c:formatCode>_-* #,##0.00\ [$zł-415]_-;\-* #,##0.00\ [$zł-415]_-;_-* "-"??\ [$zł-415]_-;_-@_-</c:formatCode>
                <c:ptCount val="4"/>
                <c:pt idx="0">
                  <c:v>329.952</c:v>
                </c:pt>
                <c:pt idx="1">
                  <c:v>453.13400000000001</c:v>
                </c:pt>
                <c:pt idx="2">
                  <c:v>206.81799999999998</c:v>
                </c:pt>
                <c:pt idx="3">
                  <c:v>290.726</c:v>
                </c:pt>
              </c:numCache>
            </c:numRef>
          </c:val>
          <c:extLst>
            <c:ext xmlns:c16="http://schemas.microsoft.com/office/drawing/2014/chart" uri="{C3380CC4-5D6E-409C-BE32-E72D297353CC}">
              <c16:uniqueId val="{00000000-B471-4373-9270-5520CD7A7DEE}"/>
            </c:ext>
          </c:extLst>
        </c:ser>
        <c:ser>
          <c:idx val="1"/>
          <c:order val="1"/>
          <c:tx>
            <c:strRef>
              <c:f>'Tabele przestawne'!$C$18</c:f>
              <c:strCache>
                <c:ptCount val="1"/>
                <c:pt idx="0">
                  <c:v>Łączne koszty strat i przecen</c:v>
                </c:pt>
              </c:strCache>
            </c:strRef>
          </c:tx>
          <c:spPr>
            <a:solidFill>
              <a:srgbClr val="C00000"/>
            </a:solidFill>
            <a:ln>
              <a:noFill/>
            </a:ln>
            <a:effectLst/>
          </c:spPr>
          <c:invertIfNegative val="0"/>
          <c:dLbls>
            <c:numFmt formatCode="#,##0&quot; zł&quot;;\-#,##0&quot; zł&quot;;&quo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'Tabele przestawne'!$A$19:$A$23</c:f>
              <c:strCache>
                <c:ptCount val="4"/>
                <c:pt idx="0">
                  <c:v>IV</c:v>
                </c:pt>
                <c:pt idx="1">
                  <c:v>V</c:v>
                </c:pt>
                <c:pt idx="2">
                  <c:v>VI</c:v>
                </c:pt>
                <c:pt idx="3">
                  <c:v>VII</c:v>
                </c:pt>
              </c:strCache>
            </c:strRef>
          </c:cat>
          <c:val>
            <c:numRef>
              <c:f>'Tabele przestawne'!$C$19:$C$23</c:f>
              <c:numCache>
                <c:formatCode>_-* #,##0.00\ [$zł-415]_-;\-* #,##0.00\ [$zł-415]_-;_-* "-"??\ [$zł-415]_-;_-@_-</c:formatCode>
                <c:ptCount val="4"/>
                <c:pt idx="0">
                  <c:v>34.718000000000004</c:v>
                </c:pt>
                <c:pt idx="1">
                  <c:v>52.356000000000009</c:v>
                </c:pt>
                <c:pt idx="2">
                  <c:v>66.451999999999998</c:v>
                </c:pt>
                <c:pt idx="3">
                  <c:v>111.45400000000001</c:v>
                </c:pt>
              </c:numCache>
            </c:numRef>
          </c:val>
          <c:extLst>
            <c:ext xmlns:c16="http://schemas.microsoft.com/office/drawing/2014/chart" uri="{C3380CC4-5D6E-409C-BE32-E72D297353CC}">
              <c16:uniqueId val="{00000001-B471-4373-9270-5520CD7A7DEE}"/>
            </c:ext>
          </c:extLst>
        </c:ser>
        <c:dLbls>
          <c:showLegendKey val="0"/>
          <c:showVal val="0"/>
          <c:showCatName val="0"/>
          <c:showSerName val="0"/>
          <c:showPercent val="0"/>
          <c:showBubbleSize val="0"/>
        </c:dLbls>
        <c:gapWidth val="150"/>
        <c:axId val="1452323743"/>
        <c:axId val="1464960751"/>
      </c:barChart>
      <c:catAx>
        <c:axId val="145232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64960751"/>
        <c:crosses val="autoZero"/>
        <c:auto val="1"/>
        <c:lblAlgn val="ctr"/>
        <c:lblOffset val="100"/>
        <c:noMultiLvlLbl val="0"/>
      </c:catAx>
      <c:valAx>
        <c:axId val="1464960751"/>
        <c:scaling>
          <c:orientation val="minMax"/>
        </c:scaling>
        <c:delete val="1"/>
        <c:axPos val="l"/>
        <c:numFmt formatCode="_-* #,##0.00\ [$zł-415]_-;\-* #,##0.00\ [$zł-415]_-;_-* &quot;-&quot;??\ [$zł-415]_-;_-@_-" sourceLinked="1"/>
        <c:majorTickMark val="none"/>
        <c:minorTickMark val="none"/>
        <c:tickLblPos val="nextTo"/>
        <c:crossAx val="145232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1D3F3">
        <a:alpha val="50000"/>
      </a:srgbClr>
    </a:solidFill>
    <a:ln w="9525" cap="flat" cmpd="sng" algn="ctr">
      <a:no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[analiza_sprzedaży_produków_zagrożonych.xlsx]Tabele przestawne!P1t1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Źródła odzysku</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pl-PL"/>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noFill/>
          </a:ln>
          <a:effectLst/>
        </c:spPr>
      </c:pivotFmt>
      <c:pivotFmt>
        <c:idx val="7"/>
        <c:spPr>
          <a:solidFill>
            <a:schemeClr val="accent3">
              <a:lumMod val="75000"/>
            </a:schemeClr>
          </a:solidFill>
          <a:ln w="19050">
            <a:noFill/>
          </a:ln>
          <a:effectLst/>
        </c:spPr>
      </c:pivotFmt>
      <c:pivotFmt>
        <c:idx val="8"/>
        <c:spPr>
          <a:solidFill>
            <a:schemeClr val="accent6">
              <a:lumMod val="50000"/>
            </a:schemeClr>
          </a:solidFill>
          <a:ln w="19050">
            <a:noFill/>
          </a:ln>
          <a:effectLst/>
        </c:spPr>
      </c:pivotFmt>
    </c:pivotFmts>
    <c:plotArea>
      <c:layout/>
      <c:doughnutChart>
        <c:varyColors val="1"/>
        <c:ser>
          <c:idx val="0"/>
          <c:order val="0"/>
          <c:tx>
            <c:strRef>
              <c:f>'Tabele przestawne'!$B$5</c:f>
              <c:strCache>
                <c:ptCount val="1"/>
                <c:pt idx="0">
                  <c:v>Total</c:v>
                </c:pt>
              </c:strCache>
            </c:strRef>
          </c:tx>
          <c:spPr>
            <a:ln>
              <a:noFill/>
            </a:ln>
          </c:spPr>
          <c:dPt>
            <c:idx val="0"/>
            <c:bubble3D val="0"/>
            <c:spPr>
              <a:solidFill>
                <a:schemeClr val="accent6">
                  <a:lumMod val="75000"/>
                </a:schemeClr>
              </a:solidFill>
              <a:ln w="19050">
                <a:noFill/>
              </a:ln>
              <a:effectLst/>
            </c:spPr>
            <c:extLst>
              <c:ext xmlns:c16="http://schemas.microsoft.com/office/drawing/2014/chart" uri="{C3380CC4-5D6E-409C-BE32-E72D297353CC}">
                <c16:uniqueId val="{00000001-1DEB-478D-B01A-5510D58EC542}"/>
              </c:ext>
            </c:extLst>
          </c:dPt>
          <c:dPt>
            <c:idx val="1"/>
            <c:bubble3D val="0"/>
            <c:spPr>
              <a:solidFill>
                <a:schemeClr val="accent6">
                  <a:lumMod val="50000"/>
                </a:schemeClr>
              </a:solidFill>
              <a:ln w="19050">
                <a:noFill/>
              </a:ln>
              <a:effectLst/>
            </c:spPr>
            <c:extLst>
              <c:ext xmlns:c16="http://schemas.microsoft.com/office/drawing/2014/chart" uri="{C3380CC4-5D6E-409C-BE32-E72D297353CC}">
                <c16:uniqueId val="{00000003-1DEB-478D-B01A-5510D58EC54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pl-PL"/>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'Tabele przestawne'!$A$6:$A$7</c:f>
              <c:strCache>
                <c:ptCount val="2"/>
                <c:pt idx="0">
                  <c:v>Odzysk z przecen</c:v>
                </c:pt>
                <c:pt idx="1">
                  <c:v>Odzysk bez przecen</c:v>
                </c:pt>
              </c:strCache>
            </c:strRef>
          </c:cat>
          <c:val>
            <c:numRef>
              <c:f>'Tabele przestawne'!$B$6:$B$7</c:f>
              <c:numCache>
                <c:formatCode>_-* #,##0.00\ [$zł-415]_-;\-* #,##0.00\ [$zł-415]_-;_-* "-"??\ [$zł-415]_-;_-@_-</c:formatCode>
                <c:ptCount val="2"/>
                <c:pt idx="0">
                  <c:v>477.31</c:v>
                </c:pt>
                <c:pt idx="1">
                  <c:v>803.32000000000016</c:v>
                </c:pt>
              </c:numCache>
            </c:numRef>
          </c:val>
          <c:extLst>
            <c:ext xmlns:c16="http://schemas.microsoft.com/office/drawing/2014/chart" uri="{C3380CC4-5D6E-409C-BE32-E72D297353CC}">
              <c16:uniqueId val="{00000004-1DEB-478D-B01A-5510D58EC542}"/>
            </c:ext>
          </c:extLst>
        </c:ser>
        <c:dLbls>
          <c:showLegendKey val="0"/>
          <c:showVal val="1"/>
          <c:showCatName val="0"/>
          <c:showSerName val="0"/>
          <c:showPercent val="0"/>
          <c:showBubbleSize val="0"/>
          <c:showLeaderLines val="1"/>
        </c:dLbls>
        <c:firstSliceAng val="0"/>
        <c:holeSize val="5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1D3F3">
        <a:alpha val="50000"/>
      </a:srgbClr>
    </a:solidFill>
    <a:ln w="9525" cap="flat" cmpd="sng" algn="ctr">
      <a:no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[analiza_sprzedaży_produków_zagrożonych.xlsx]Tabele przestawne!PivotTable6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sz="1400" b="0" i="0" u="none" strike="noStrike" baseline="0"/>
              <a:t>Trend odzysku z przecen w czasie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6AE7F"/>
            </a:solidFill>
            <a:round/>
          </a:ln>
          <a:effectLst/>
        </c:spPr>
        <c:marker>
          <c:symbol val="circle"/>
          <c:size val="5"/>
          <c:spPr>
            <a:solidFill>
              <a:srgbClr val="76AE7F"/>
            </a:solidFill>
            <a:ln w="9525">
              <a:noFill/>
            </a:ln>
            <a:effectLst/>
          </c:spPr>
        </c:marker>
        <c:dLbl>
          <c:idx val="0"/>
          <c:numFmt formatCode="##0\ &quot;zł&quot;;\-#\ ##0\ &quot;zł&quot;;0\ &quot;zł&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'Tabele przestawne'!$B$36</c:f>
              <c:strCache>
                <c:ptCount val="1"/>
                <c:pt idx="0">
                  <c:v>Total</c:v>
                </c:pt>
              </c:strCache>
            </c:strRef>
          </c:tx>
          <c:spPr>
            <a:ln w="28575" cap="rnd">
              <a:solidFill>
                <a:srgbClr val="76AE7F"/>
              </a:solidFill>
              <a:round/>
            </a:ln>
            <a:effectLst/>
          </c:spPr>
          <c:marker>
            <c:symbol val="circle"/>
            <c:size val="5"/>
            <c:spPr>
              <a:solidFill>
                <a:srgbClr val="76AE7F"/>
              </a:solidFill>
              <a:ln w="9525">
                <a:noFill/>
              </a:ln>
              <a:effectLst/>
            </c:spPr>
          </c:marker>
          <c:dLbls>
            <c:numFmt formatCode="##0\ &quot;zł&quot;;\-#\ ##0\ &quot;zł&quot;;0\ &quot;zł&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'Tabele przestawne'!$A$37:$A$41</c:f>
              <c:strCache>
                <c:ptCount val="4"/>
                <c:pt idx="0">
                  <c:v>IV</c:v>
                </c:pt>
                <c:pt idx="1">
                  <c:v>V</c:v>
                </c:pt>
                <c:pt idx="2">
                  <c:v>VI</c:v>
                </c:pt>
                <c:pt idx="3">
                  <c:v>VII</c:v>
                </c:pt>
              </c:strCache>
            </c:strRef>
          </c:cat>
          <c:val>
            <c:numRef>
              <c:f>'Tabele przestawne'!$B$37:$B$41</c:f>
              <c:numCache>
                <c:formatCode>_-* #,##0.00\ [$zł-415]_-;\-* #,##0.00\ [$zł-415]_-;_-* "-"??\ [$zł-415]_-;_-@_-</c:formatCode>
                <c:ptCount val="4"/>
                <c:pt idx="0">
                  <c:v>100.55200000000001</c:v>
                </c:pt>
                <c:pt idx="1">
                  <c:v>78.533999999999992</c:v>
                </c:pt>
                <c:pt idx="2">
                  <c:v>99.048000000000002</c:v>
                </c:pt>
                <c:pt idx="3">
                  <c:v>199.17599999999999</c:v>
                </c:pt>
              </c:numCache>
            </c:numRef>
          </c:val>
          <c:smooth val="0"/>
          <c:extLst>
            <c:ext xmlns:c16="http://schemas.microsoft.com/office/drawing/2014/chart" uri="{C3380CC4-5D6E-409C-BE32-E72D297353CC}">
              <c16:uniqueId val="{00000000-3E70-4476-B71A-A235BE0C40A5}"/>
            </c:ext>
          </c:extLst>
        </c:ser>
        <c:dLbls>
          <c:dLblPos val="t"/>
          <c:showLegendKey val="0"/>
          <c:showVal val="1"/>
          <c:showCatName val="0"/>
          <c:showSerName val="0"/>
          <c:showPercent val="0"/>
          <c:showBubbleSize val="0"/>
        </c:dLbls>
        <c:marker val="1"/>
        <c:smooth val="0"/>
        <c:axId val="1267667136"/>
        <c:axId val="2128397776"/>
      </c:lineChart>
      <c:catAx>
        <c:axId val="126766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2128397776"/>
        <c:crosses val="autoZero"/>
        <c:auto val="1"/>
        <c:lblAlgn val="ctr"/>
        <c:lblOffset val="100"/>
        <c:noMultiLvlLbl val="0"/>
      </c:catAx>
      <c:valAx>
        <c:axId val="2128397776"/>
        <c:scaling>
          <c:orientation val="minMax"/>
        </c:scaling>
        <c:delete val="1"/>
        <c:axPos val="l"/>
        <c:numFmt formatCode="_-* #,##0.00\ [$zł-415]_-;\-* #,##0.00\ [$zł-415]_-;_-* &quot;-&quot;??\ [$zł-415]_-;_-@_-" sourceLinked="1"/>
        <c:majorTickMark val="none"/>
        <c:minorTickMark val="none"/>
        <c:tickLblPos val="nextTo"/>
        <c:crossAx val="1267667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50000"/>
      </a:schemeClr>
    </a:solidFill>
    <a:ln w="9525" cap="flat" cmpd="sng" algn="ctr">
      <a:no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[analiza_sprzedaży_produków_zagrożonych.xlsx]Tabele przestawne!PivotTable11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sz="1400" b="0" i="0" u="none" strike="noStrike" baseline="0"/>
              <a:t>Efektywność przecen wg kategorii (ROI)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BEBAF8"/>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042904290429043E-2"/>
          <c:y val="0.20041884139551966"/>
          <c:w val="0.9419141914191419"/>
          <c:h val="0.67465971264008362"/>
        </c:manualLayout>
      </c:layout>
      <c:barChart>
        <c:barDir val="col"/>
        <c:grouping val="clustered"/>
        <c:varyColors val="0"/>
        <c:ser>
          <c:idx val="0"/>
          <c:order val="0"/>
          <c:tx>
            <c:strRef>
              <c:f>'Tabele przestawne'!$B$81</c:f>
              <c:strCache>
                <c:ptCount val="1"/>
                <c:pt idx="0">
                  <c:v>Total</c:v>
                </c:pt>
              </c:strCache>
            </c:strRef>
          </c:tx>
          <c:spPr>
            <a:solidFill>
              <a:srgbClr val="BEBAF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'Tabele przestawne'!$A$82:$A$87</c:f>
              <c:strCache>
                <c:ptCount val="5"/>
                <c:pt idx="0">
                  <c:v>Sosy w proszku</c:v>
                </c:pt>
                <c:pt idx="1">
                  <c:v>Dania instant</c:v>
                </c:pt>
                <c:pt idx="2">
                  <c:v>Zupy w proszku</c:v>
                </c:pt>
                <c:pt idx="3">
                  <c:v>Fixy</c:v>
                </c:pt>
                <c:pt idx="4">
                  <c:v>Słodycze</c:v>
                </c:pt>
              </c:strCache>
            </c:strRef>
          </c:cat>
          <c:val>
            <c:numRef>
              <c:f>'Tabele przestawne'!$B$82:$B$87</c:f>
              <c:numCache>
                <c:formatCode>0.00%</c:formatCode>
                <c:ptCount val="5"/>
                <c:pt idx="0">
                  <c:v>1.3302104439585132</c:v>
                </c:pt>
                <c:pt idx="1">
                  <c:v>1.3302104439585132</c:v>
                </c:pt>
                <c:pt idx="2">
                  <c:v>1.3302104439585132</c:v>
                </c:pt>
                <c:pt idx="3">
                  <c:v>0.96965962817800611</c:v>
                </c:pt>
                <c:pt idx="4">
                  <c:v>0.49882891648444233</c:v>
                </c:pt>
              </c:numCache>
            </c:numRef>
          </c:val>
          <c:extLst>
            <c:ext xmlns:c16="http://schemas.microsoft.com/office/drawing/2014/chart" uri="{C3380CC4-5D6E-409C-BE32-E72D297353CC}">
              <c16:uniqueId val="{00000000-A330-4E87-B5E7-44E925B85301}"/>
            </c:ext>
          </c:extLst>
        </c:ser>
        <c:dLbls>
          <c:dLblPos val="outEnd"/>
          <c:showLegendKey val="0"/>
          <c:showVal val="1"/>
          <c:showCatName val="0"/>
          <c:showSerName val="0"/>
          <c:showPercent val="0"/>
          <c:showBubbleSize val="0"/>
        </c:dLbls>
        <c:gapWidth val="219"/>
        <c:overlap val="-27"/>
        <c:axId val="1413654000"/>
        <c:axId val="1409305104"/>
      </c:barChart>
      <c:catAx>
        <c:axId val="141365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09305104"/>
        <c:crosses val="autoZero"/>
        <c:auto val="1"/>
        <c:lblAlgn val="ctr"/>
        <c:lblOffset val="100"/>
        <c:noMultiLvlLbl val="0"/>
      </c:catAx>
      <c:valAx>
        <c:axId val="1409305104"/>
        <c:scaling>
          <c:orientation val="minMax"/>
        </c:scaling>
        <c:delete val="1"/>
        <c:axPos val="l"/>
        <c:numFmt formatCode="0.00%" sourceLinked="1"/>
        <c:majorTickMark val="none"/>
        <c:minorTickMark val="none"/>
        <c:tickLblPos val="nextTo"/>
        <c:crossAx val="1413654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50000"/>
      </a:schemeClr>
    </a:solidFill>
    <a:ln w="9525" cap="flat" cmpd="sng" algn="ctr">
      <a:no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[analiza_sprzedaży_produków_zagrożonych.xlsx]Tabele przestawne!PivotTable12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sz="1400" b="0" i="0" u="none" strike="noStrike" baseline="0"/>
              <a:t>Wpływ wysokości przeceny na przychód i koszt</a:t>
            </a:r>
            <a:endParaRPr lang="pl-P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6AE7F"/>
          </a:solidFill>
          <a:ln>
            <a:noFill/>
          </a:ln>
          <a:effectLst/>
        </c:spPr>
        <c:marker>
          <c:symbol val="none"/>
        </c:marker>
        <c:dLbl>
          <c:idx val="0"/>
          <c:numFmt formatCode="#,##0\ [$zł-415]"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BF5959"/>
          </a:solidFill>
          <a:ln>
            <a:noFill/>
          </a:ln>
          <a:effectLst/>
        </c:spPr>
        <c:marker>
          <c:symbol val="none"/>
        </c:marker>
        <c:dLbl>
          <c:idx val="0"/>
          <c:numFmt formatCode="#,##0\ [$zł-415]"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'Tabele przestawne'!$B$56</c:f>
              <c:strCache>
                <c:ptCount val="1"/>
                <c:pt idx="0">
                  <c:v>Odzysk z przecen</c:v>
                </c:pt>
              </c:strCache>
            </c:strRef>
          </c:tx>
          <c:spPr>
            <a:solidFill>
              <a:srgbClr val="76AE7F"/>
            </a:solidFill>
            <a:ln>
              <a:noFill/>
            </a:ln>
            <a:effectLst/>
          </c:spPr>
          <c:invertIfNegative val="0"/>
          <c:dLbls>
            <c:numFmt formatCode="#,##0\ [$zł-415]"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'Tabele przestawne'!$A$57:$A$59</c:f>
              <c:strCache>
                <c:ptCount val="2"/>
                <c:pt idx="0">
                  <c:v>20%</c:v>
                </c:pt>
                <c:pt idx="1">
                  <c:v>40%</c:v>
                </c:pt>
              </c:strCache>
            </c:strRef>
          </c:cat>
          <c:val>
            <c:numRef>
              <c:f>'Tabele przestawne'!$B$57:$B$59</c:f>
              <c:numCache>
                <c:formatCode>_-* #,##0.00\ [$zł-415]_-;\-* #,##0.00\ [$zł-415]_-;_-* "-"??\ [$zł-415]_-;_-@_-</c:formatCode>
                <c:ptCount val="2"/>
                <c:pt idx="0">
                  <c:v>319.76800000000003</c:v>
                </c:pt>
                <c:pt idx="1">
                  <c:v>157.54199999999997</c:v>
                </c:pt>
              </c:numCache>
            </c:numRef>
          </c:val>
          <c:extLst>
            <c:ext xmlns:c16="http://schemas.microsoft.com/office/drawing/2014/chart" uri="{C3380CC4-5D6E-409C-BE32-E72D297353CC}">
              <c16:uniqueId val="{00000000-939A-4AF8-B105-DF904C77B91E}"/>
            </c:ext>
          </c:extLst>
        </c:ser>
        <c:ser>
          <c:idx val="1"/>
          <c:order val="1"/>
          <c:tx>
            <c:strRef>
              <c:f>'Tabele przestawne'!$C$56</c:f>
              <c:strCache>
                <c:ptCount val="1"/>
                <c:pt idx="0">
                  <c:v>Koszt przecen</c:v>
                </c:pt>
              </c:strCache>
            </c:strRef>
          </c:tx>
          <c:spPr>
            <a:solidFill>
              <a:srgbClr val="BF5959"/>
            </a:solidFill>
            <a:ln>
              <a:noFill/>
            </a:ln>
            <a:effectLst/>
          </c:spPr>
          <c:invertIfNegative val="0"/>
          <c:dLbls>
            <c:numFmt formatCode="#,##0\ [$zł-415]"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'Tabele przestawne'!$A$57:$A$59</c:f>
              <c:strCache>
                <c:ptCount val="2"/>
                <c:pt idx="0">
                  <c:v>20%</c:v>
                </c:pt>
                <c:pt idx="1">
                  <c:v>40%</c:v>
                </c:pt>
              </c:strCache>
            </c:strRef>
          </c:cat>
          <c:val>
            <c:numRef>
              <c:f>'Tabele przestawne'!$C$57:$C$59</c:f>
              <c:numCache>
                <c:formatCode>_-* #,##0.00\ [$zł-415]_-;\-* #,##0.00\ [$zł-415]_-;_-* "-"??\ [$zł-415]_-;_-@_-</c:formatCode>
                <c:ptCount val="2"/>
                <c:pt idx="0">
                  <c:v>79.942000000000007</c:v>
                </c:pt>
                <c:pt idx="1">
                  <c:v>105.02800000000001</c:v>
                </c:pt>
              </c:numCache>
            </c:numRef>
          </c:val>
          <c:extLst>
            <c:ext xmlns:c16="http://schemas.microsoft.com/office/drawing/2014/chart" uri="{C3380CC4-5D6E-409C-BE32-E72D297353CC}">
              <c16:uniqueId val="{00000001-939A-4AF8-B105-DF904C77B91E}"/>
            </c:ext>
          </c:extLst>
        </c:ser>
        <c:dLbls>
          <c:dLblPos val="outEnd"/>
          <c:showLegendKey val="0"/>
          <c:showVal val="1"/>
          <c:showCatName val="0"/>
          <c:showSerName val="0"/>
          <c:showPercent val="0"/>
          <c:showBubbleSize val="0"/>
        </c:dLbls>
        <c:gapWidth val="219"/>
        <c:overlap val="-27"/>
        <c:axId val="1281319632"/>
        <c:axId val="2128359856"/>
      </c:barChart>
      <c:catAx>
        <c:axId val="128131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2128359856"/>
        <c:crosses val="autoZero"/>
        <c:auto val="1"/>
        <c:lblAlgn val="ctr"/>
        <c:lblOffset val="100"/>
        <c:noMultiLvlLbl val="0"/>
      </c:catAx>
      <c:valAx>
        <c:axId val="2128359856"/>
        <c:scaling>
          <c:orientation val="minMax"/>
        </c:scaling>
        <c:delete val="1"/>
        <c:axPos val="l"/>
        <c:numFmt formatCode="_-* #,##0.00\ [$zł-415]_-;\-* #,##0.00\ [$zł-415]_-;_-* &quot;-&quot;??\ [$zł-415]_-;_-@_-" sourceLinked="1"/>
        <c:majorTickMark val="none"/>
        <c:minorTickMark val="none"/>
        <c:tickLblPos val="nextTo"/>
        <c:crossAx val="12813196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50000"/>
      </a:schemeClr>
    </a:solidFill>
    <a:ln w="9525" cap="flat" cmpd="sng" algn="ctr">
      <a:no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[analiza_sprzedaży_produków_zagrożonych.xlsx]Tabele przestawne!PivotTable1</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Straty</a:t>
            </a:r>
            <a:r>
              <a:rPr lang="pl-PL" baseline="0"/>
              <a:t> wg kategorii</a:t>
            </a:r>
            <a:endParaRPr lang="pl-P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horzOverflow="clip" vert="horz" wrap="square" lIns="38100" tIns="3600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rgbClr val="6C000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10055402753383"/>
          <c:y val="0.15252057508771283"/>
          <c:w val="0.77665419947506564"/>
          <c:h val="0.71671438711966307"/>
        </c:manualLayout>
      </c:layout>
      <c:barChart>
        <c:barDir val="col"/>
        <c:grouping val="clustered"/>
        <c:varyColors val="0"/>
        <c:ser>
          <c:idx val="0"/>
          <c:order val="0"/>
          <c:tx>
            <c:strRef>
              <c:f>'Tabele przestawne'!$B$117</c:f>
              <c:strCache>
                <c:ptCount val="1"/>
                <c:pt idx="0">
                  <c:v>Total</c:v>
                </c:pt>
              </c:strCache>
            </c:strRef>
          </c:tx>
          <c:spPr>
            <a:solidFill>
              <a:srgbClr val="6C000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'Tabele przestawne'!$A$118:$A$122</c:f>
              <c:strCache>
                <c:ptCount val="4"/>
                <c:pt idx="0">
                  <c:v>Słodycze</c:v>
                </c:pt>
                <c:pt idx="1">
                  <c:v>Fixy</c:v>
                </c:pt>
                <c:pt idx="2">
                  <c:v>Zupy w proszku</c:v>
                </c:pt>
                <c:pt idx="3">
                  <c:v>Dania instant</c:v>
                </c:pt>
              </c:strCache>
            </c:strRef>
          </c:cat>
          <c:val>
            <c:numRef>
              <c:f>'Tabele przestawne'!$B$118:$B$122</c:f>
              <c:numCache>
                <c:formatCode>0.00%</c:formatCode>
                <c:ptCount val="4"/>
                <c:pt idx="0">
                  <c:v>0.35920509936257966</c:v>
                </c:pt>
                <c:pt idx="1">
                  <c:v>0.25434320709911262</c:v>
                </c:pt>
                <c:pt idx="2">
                  <c:v>0.22422197225346832</c:v>
                </c:pt>
                <c:pt idx="3">
                  <c:v>0.1622297212848394</c:v>
                </c:pt>
              </c:numCache>
            </c:numRef>
          </c:val>
          <c:extLst>
            <c:ext xmlns:c16="http://schemas.microsoft.com/office/drawing/2014/chart" uri="{C3380CC4-5D6E-409C-BE32-E72D297353CC}">
              <c16:uniqueId val="{00000000-5ED1-4797-9387-2605E9B1681A}"/>
            </c:ext>
          </c:extLst>
        </c:ser>
        <c:dLbls>
          <c:dLblPos val="outEnd"/>
          <c:showLegendKey val="0"/>
          <c:showVal val="1"/>
          <c:showCatName val="0"/>
          <c:showSerName val="0"/>
          <c:showPercent val="0"/>
          <c:showBubbleSize val="0"/>
        </c:dLbls>
        <c:gapWidth val="182"/>
        <c:axId val="1186476704"/>
        <c:axId val="1912241552"/>
      </c:barChart>
      <c:catAx>
        <c:axId val="118647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912241552"/>
        <c:crosses val="autoZero"/>
        <c:auto val="1"/>
        <c:lblAlgn val="ctr"/>
        <c:lblOffset val="100"/>
        <c:noMultiLvlLbl val="0"/>
      </c:catAx>
      <c:valAx>
        <c:axId val="1912241552"/>
        <c:scaling>
          <c:orientation val="minMax"/>
        </c:scaling>
        <c:delete val="1"/>
        <c:axPos val="l"/>
        <c:numFmt formatCode="0.00%" sourceLinked="1"/>
        <c:majorTickMark val="none"/>
        <c:minorTickMark val="none"/>
        <c:tickLblPos val="nextTo"/>
        <c:crossAx val="118647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50000"/>
      </a:schemeClr>
    </a:solidFill>
    <a:ln w="9525" cap="flat" cmpd="sng" algn="ctr">
      <a:no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[analiza_sprzedaży_produków_zagrożonych.xlsx]Tabele przestawne!PivotTable2</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Główne przyczyny strat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numFmt formatCode="0%" sourceLinked="0"/>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pl-PL"/>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BF5959"/>
          </a:solidFill>
          <a:ln w="19050">
            <a:noFill/>
          </a:ln>
          <a:effectLst/>
        </c:spPr>
      </c:pivotFmt>
      <c:pivotFmt>
        <c:idx val="8"/>
        <c:spPr>
          <a:solidFill>
            <a:srgbClr val="76AE7F"/>
          </a:solidFill>
          <a:ln w="19050">
            <a:noFill/>
          </a:ln>
          <a:effectLst/>
        </c:spPr>
      </c:pivotFmt>
      <c:pivotFmt>
        <c:idx val="9"/>
        <c:spPr>
          <a:solidFill>
            <a:srgbClr val="A6A9E8"/>
          </a:solidFill>
          <a:ln w="19050">
            <a:noFill/>
          </a:ln>
          <a:effectLst/>
        </c:spPr>
      </c:pivotFmt>
      <c:pivotFmt>
        <c:idx val="10"/>
        <c:spPr>
          <a:solidFill>
            <a:srgbClr val="D1D3F3"/>
          </a:solidFill>
          <a:ln w="19050">
            <a:noFill/>
          </a:ln>
          <a:effectLst/>
        </c:spPr>
      </c:pivotFmt>
      <c:pivotFmt>
        <c:idx val="1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pl-PL"/>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BF5959"/>
          </a:solidFill>
          <a:ln w="19050">
            <a:noFill/>
          </a:ln>
          <a:effectLst/>
        </c:spPr>
      </c:pivotFmt>
      <c:pivotFmt>
        <c:idx val="13"/>
        <c:spPr>
          <a:solidFill>
            <a:srgbClr val="231D3B"/>
          </a:solidFill>
          <a:ln w="19050">
            <a:noFill/>
          </a:ln>
          <a:effectLst/>
        </c:spPr>
      </c:pivotFmt>
    </c:pivotFmts>
    <c:plotArea>
      <c:layout/>
      <c:doughnutChart>
        <c:varyColors val="1"/>
        <c:ser>
          <c:idx val="0"/>
          <c:order val="0"/>
          <c:tx>
            <c:strRef>
              <c:f>'Tabele przestawne'!$B$142</c:f>
              <c:strCache>
                <c:ptCount val="1"/>
                <c:pt idx="0">
                  <c:v>Total</c:v>
                </c:pt>
              </c:strCache>
            </c:strRef>
          </c:tx>
          <c:spPr>
            <a:ln>
              <a:noFill/>
            </a:ln>
          </c:spPr>
          <c:dPt>
            <c:idx val="0"/>
            <c:bubble3D val="0"/>
            <c:spPr>
              <a:solidFill>
                <a:srgbClr val="BF5959"/>
              </a:solidFill>
              <a:ln w="19050">
                <a:noFill/>
              </a:ln>
              <a:effectLst/>
            </c:spPr>
            <c:extLst>
              <c:ext xmlns:c16="http://schemas.microsoft.com/office/drawing/2014/chart" uri="{C3380CC4-5D6E-409C-BE32-E72D297353CC}">
                <c16:uniqueId val="{00000001-3396-4614-B95C-2DFA5EE5E81E}"/>
              </c:ext>
            </c:extLst>
          </c:dPt>
          <c:dPt>
            <c:idx val="1"/>
            <c:bubble3D val="0"/>
            <c:spPr>
              <a:solidFill>
                <a:srgbClr val="231D3B"/>
              </a:solidFill>
              <a:ln w="19050">
                <a:noFill/>
              </a:ln>
              <a:effectLst/>
            </c:spPr>
            <c:extLst>
              <c:ext xmlns:c16="http://schemas.microsoft.com/office/drawing/2014/chart" uri="{C3380CC4-5D6E-409C-BE32-E72D297353CC}">
                <c16:uniqueId val="{00000003-3396-4614-B95C-2DFA5EE5E81E}"/>
              </c:ext>
            </c:extLst>
          </c:dPt>
          <c:dPt>
            <c:idx val="2"/>
            <c:bubble3D val="0"/>
            <c:spPr>
              <a:solidFill>
                <a:schemeClr val="accent3"/>
              </a:solidFill>
              <a:ln w="19050">
                <a:noFill/>
              </a:ln>
              <a:effectLst/>
            </c:spPr>
            <c:extLst>
              <c:ext xmlns:c16="http://schemas.microsoft.com/office/drawing/2014/chart" uri="{C3380CC4-5D6E-409C-BE32-E72D297353CC}">
                <c16:uniqueId val="{00000005-3396-4614-B95C-2DFA5EE5E81E}"/>
              </c:ext>
            </c:extLst>
          </c:dPt>
          <c:dPt>
            <c:idx val="3"/>
            <c:bubble3D val="0"/>
            <c:spPr>
              <a:solidFill>
                <a:schemeClr val="accent4"/>
              </a:solidFill>
              <a:ln w="19050">
                <a:noFill/>
              </a:ln>
              <a:effectLst/>
            </c:spPr>
            <c:extLst>
              <c:ext xmlns:c16="http://schemas.microsoft.com/office/drawing/2014/chart" uri="{C3380CC4-5D6E-409C-BE32-E72D297353CC}">
                <c16:uniqueId val="{00000007-3396-4614-B95C-2DFA5EE5E81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pl-PL"/>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'Tabele przestawne'!$A$143:$A$145</c:f>
              <c:strCache>
                <c:ptCount val="2"/>
                <c:pt idx="0">
                  <c:v>Słaba sprzedaż</c:v>
                </c:pt>
                <c:pt idx="1">
                  <c:v>Błędna ocena popytu</c:v>
                </c:pt>
              </c:strCache>
            </c:strRef>
          </c:cat>
          <c:val>
            <c:numRef>
              <c:f>'Tabele przestawne'!$B$143:$B$145</c:f>
              <c:numCache>
                <c:formatCode>_-* #,##0.00\ [$zł-415]_-;\-* #,##0.00\ [$zł-415]_-;_-* "-"??\ [$zł-415]_-;_-@_-</c:formatCode>
                <c:ptCount val="2"/>
                <c:pt idx="0">
                  <c:v>57.45</c:v>
                </c:pt>
                <c:pt idx="1">
                  <c:v>22.560000000000002</c:v>
                </c:pt>
              </c:numCache>
            </c:numRef>
          </c:val>
          <c:extLst>
            <c:ext xmlns:c16="http://schemas.microsoft.com/office/drawing/2014/chart" uri="{C3380CC4-5D6E-409C-BE32-E72D297353CC}">
              <c16:uniqueId val="{00000008-3396-4614-B95C-2DFA5EE5E81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50000"/>
      </a:schemeClr>
    </a:solidFill>
    <a:ln w="9525" cap="flat" cmpd="sng" algn="ctr">
      <a:no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[analiza_sprzedaży_produków_zagrożonych.xlsx]Tabele przestawne!PivotTable10</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Trend strat</a:t>
            </a:r>
            <a:r>
              <a:rPr lang="pl-PL" baseline="0"/>
              <a:t> w czasie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6C0000"/>
            </a:solidFill>
            <a:round/>
          </a:ln>
          <a:effectLst/>
        </c:spPr>
        <c:marker>
          <c:symbol val="circle"/>
          <c:size val="5"/>
          <c:spPr>
            <a:solidFill>
              <a:srgbClr val="6C0000"/>
            </a:solidFill>
            <a:ln w="9525">
              <a:noFill/>
            </a:ln>
            <a:effectLst/>
          </c:spPr>
        </c:marker>
        <c:dLbl>
          <c:idx val="0"/>
          <c:numFmt formatCode="#,##0\ [$zł-415]"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6C0000"/>
            </a:solidFill>
            <a:round/>
          </a:ln>
          <a:effectLst/>
        </c:spPr>
        <c:marker>
          <c:symbol val="circle"/>
          <c:size val="5"/>
          <c:spPr>
            <a:solidFill>
              <a:srgbClr val="6C0000"/>
            </a:solidFill>
            <a:ln w="9525">
              <a:solidFill>
                <a:srgbClr val="6C0000"/>
              </a:solidFill>
            </a:ln>
            <a:effectLst/>
          </c:spPr>
        </c:marker>
        <c:dLbl>
          <c:idx val="0"/>
          <c:numFmt formatCode="##0\ &quot;zł&quot;;\-#\ ##0\ &quot;zł&quot;;0\ &quot;zł&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65130152583165E-2"/>
          <c:y val="0.18148015728385608"/>
          <c:w val="0.95297261386930865"/>
          <c:h val="0.70540291466742078"/>
        </c:manualLayout>
      </c:layout>
      <c:lineChart>
        <c:grouping val="standard"/>
        <c:varyColors val="0"/>
        <c:ser>
          <c:idx val="0"/>
          <c:order val="0"/>
          <c:tx>
            <c:strRef>
              <c:f>'Tabele przestawne'!$B$161</c:f>
              <c:strCache>
                <c:ptCount val="1"/>
                <c:pt idx="0">
                  <c:v>Total</c:v>
                </c:pt>
              </c:strCache>
            </c:strRef>
          </c:tx>
          <c:spPr>
            <a:ln w="28575" cap="rnd">
              <a:solidFill>
                <a:srgbClr val="6C0000"/>
              </a:solidFill>
              <a:round/>
            </a:ln>
            <a:effectLst/>
          </c:spPr>
          <c:marker>
            <c:symbol val="circle"/>
            <c:size val="5"/>
            <c:spPr>
              <a:solidFill>
                <a:srgbClr val="6C0000"/>
              </a:solidFill>
              <a:ln w="9525">
                <a:solidFill>
                  <a:srgbClr val="6C0000"/>
                </a:solidFill>
              </a:ln>
              <a:effectLst/>
            </c:spPr>
          </c:marker>
          <c:dLbls>
            <c:numFmt formatCode="##0\ &quot;zł&quot;;\-#\ ##0\ &quot;zł&quot;;0\ &quot;zł&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'Tabele przestawne'!$A$162:$A$166</c:f>
              <c:strCache>
                <c:ptCount val="4"/>
                <c:pt idx="0">
                  <c:v>IV</c:v>
                </c:pt>
                <c:pt idx="1">
                  <c:v>V</c:v>
                </c:pt>
                <c:pt idx="2">
                  <c:v>VI</c:v>
                </c:pt>
                <c:pt idx="3">
                  <c:v>VII</c:v>
                </c:pt>
              </c:strCache>
            </c:strRef>
          </c:cat>
          <c:val>
            <c:numRef>
              <c:f>'Tabele przestawne'!$B$162:$B$166</c:f>
              <c:numCache>
                <c:formatCode>_-* #,##0.00\ [$zł-415]_-;\-* #,##0.00\ [$zł-415]_-;_-* "-"??\ [$zł-415]_-;_-@_-</c:formatCode>
                <c:ptCount val="4"/>
                <c:pt idx="0">
                  <c:v>9.58</c:v>
                </c:pt>
                <c:pt idx="1">
                  <c:v>0</c:v>
                </c:pt>
                <c:pt idx="2">
                  <c:v>41.69</c:v>
                </c:pt>
                <c:pt idx="3">
                  <c:v>28.740000000000002</c:v>
                </c:pt>
              </c:numCache>
            </c:numRef>
          </c:val>
          <c:smooth val="0"/>
          <c:extLst>
            <c:ext xmlns:c16="http://schemas.microsoft.com/office/drawing/2014/chart" uri="{C3380CC4-5D6E-409C-BE32-E72D297353CC}">
              <c16:uniqueId val="{00000004-3B3C-4C57-BE76-860FEB0A27F3}"/>
            </c:ext>
          </c:extLst>
        </c:ser>
        <c:dLbls>
          <c:dLblPos val="t"/>
          <c:showLegendKey val="0"/>
          <c:showVal val="1"/>
          <c:showCatName val="0"/>
          <c:showSerName val="0"/>
          <c:showPercent val="0"/>
          <c:showBubbleSize val="0"/>
        </c:dLbls>
        <c:marker val="1"/>
        <c:smooth val="0"/>
        <c:axId val="1227829424"/>
        <c:axId val="1912326512"/>
      </c:lineChart>
      <c:catAx>
        <c:axId val="122782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912326512"/>
        <c:crosses val="autoZero"/>
        <c:auto val="1"/>
        <c:lblAlgn val="ctr"/>
        <c:lblOffset val="100"/>
        <c:noMultiLvlLbl val="0"/>
      </c:catAx>
      <c:valAx>
        <c:axId val="1912326512"/>
        <c:scaling>
          <c:orientation val="minMax"/>
        </c:scaling>
        <c:delete val="1"/>
        <c:axPos val="l"/>
        <c:numFmt formatCode="_-* #,##0.00\ [$zł-415]_-;\-* #,##0.00\ [$zł-415]_-;_-* &quot;-&quot;??\ [$zł-415]_-;_-@_-" sourceLinked="1"/>
        <c:majorTickMark val="none"/>
        <c:minorTickMark val="none"/>
        <c:tickLblPos val="nextTo"/>
        <c:crossAx val="122782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50000"/>
      </a:schemeClr>
    </a:solidFill>
    <a:ln w="9525" cap="flat" cmpd="sng" algn="ctr">
      <a:no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Straty!A1"/><Relationship Id="rId1" Type="http://schemas.openxmlformats.org/officeDocument/2006/relationships/hyperlink" Target="#Efektywno&#347;&#263;!A1"/><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hyperlink" Target="#Przegl&#261;d!A1"/></Relationships>
</file>

<file path=xl/drawings/_rels/drawing3.xml.rels><?xml version="1.0" encoding="UTF-8" standalone="yes"?>
<Relationships xmlns="http://schemas.openxmlformats.org/package/2006/relationships"><Relationship Id="rId3" Type="http://schemas.openxmlformats.org/officeDocument/2006/relationships/hyperlink" Target="#Przegl&#261;d!A1"/><Relationship Id="rId2" Type="http://schemas.openxmlformats.org/officeDocument/2006/relationships/hyperlink" Target="#Straty!A1"/><Relationship Id="rId1" Type="http://schemas.openxmlformats.org/officeDocument/2006/relationships/hyperlink" Target="#Efektywno&#347;&#263;!A1"/><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hyperlink" Target="#Przegl&#261;d!A1"/><Relationship Id="rId2" Type="http://schemas.openxmlformats.org/officeDocument/2006/relationships/hyperlink" Target="#Straty!A1"/><Relationship Id="rId1" Type="http://schemas.openxmlformats.org/officeDocument/2006/relationships/hyperlink" Target="#Efektywno&#347;&#263;!A1"/><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3</xdr:col>
      <xdr:colOff>252132</xdr:colOff>
      <xdr:row>16</xdr:row>
      <xdr:rowOff>169209</xdr:rowOff>
    </xdr:from>
    <xdr:to>
      <xdr:col>7</xdr:col>
      <xdr:colOff>363682</xdr:colOff>
      <xdr:row>26</xdr:row>
      <xdr:rowOff>121227</xdr:rowOff>
    </xdr:to>
    <xdr:graphicFrame macro="">
      <xdr:nvGraphicFramePr>
        <xdr:cNvPr id="33" name="Chart 32">
          <a:extLst>
            <a:ext uri="{FF2B5EF4-FFF2-40B4-BE49-F238E27FC236}">
              <a16:creationId xmlns:a16="http://schemas.microsoft.com/office/drawing/2014/main" id="{D2D1B66D-7802-2D37-C657-CE7342EF64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285749</xdr:colOff>
      <xdr:row>4</xdr:row>
      <xdr:rowOff>57149</xdr:rowOff>
    </xdr:from>
    <xdr:to>
      <xdr:col>3</xdr:col>
      <xdr:colOff>1848970</xdr:colOff>
      <xdr:row>13</xdr:row>
      <xdr:rowOff>145676</xdr:rowOff>
    </xdr:to>
    <xdr:graphicFrame macro="">
      <xdr:nvGraphicFramePr>
        <xdr:cNvPr id="38" name="Chart 37">
          <a:extLst>
            <a:ext uri="{FF2B5EF4-FFF2-40B4-BE49-F238E27FC236}">
              <a16:creationId xmlns:a16="http://schemas.microsoft.com/office/drawing/2014/main" id="{ABD921FA-D97F-8E42-F99B-129D20D996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341779</xdr:colOff>
      <xdr:row>34</xdr:row>
      <xdr:rowOff>158002</xdr:rowOff>
    </xdr:from>
    <xdr:to>
      <xdr:col>4</xdr:col>
      <xdr:colOff>700367</xdr:colOff>
      <xdr:row>49</xdr:row>
      <xdr:rowOff>43702</xdr:rowOff>
    </xdr:to>
    <xdr:graphicFrame macro="">
      <xdr:nvGraphicFramePr>
        <xdr:cNvPr id="4" name="Chart 3">
          <a:extLst>
            <a:ext uri="{FF2B5EF4-FFF2-40B4-BE49-F238E27FC236}">
              <a16:creationId xmlns:a16="http://schemas.microsoft.com/office/drawing/2014/main" id="{4F824C5C-79B5-06AF-EDD7-9635F7A884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16808</xdr:colOff>
      <xdr:row>9</xdr:row>
      <xdr:rowOff>84046</xdr:rowOff>
    </xdr:from>
    <xdr:to>
      <xdr:col>17</xdr:col>
      <xdr:colOff>589531</xdr:colOff>
      <xdr:row>14</xdr:row>
      <xdr:rowOff>94130</xdr:rowOff>
    </xdr:to>
    <mc:AlternateContent xmlns:mc="http://schemas.openxmlformats.org/markup-compatibility/2006" xmlns:a14="http://schemas.microsoft.com/office/drawing/2010/main">
      <mc:Choice Requires="a14">
        <xdr:graphicFrame macro="">
          <xdr:nvGraphicFramePr>
            <xdr:cNvPr id="10" name="Sklep 2">
              <a:extLst>
                <a:ext uri="{FF2B5EF4-FFF2-40B4-BE49-F238E27FC236}">
                  <a16:creationId xmlns:a16="http://schemas.microsoft.com/office/drawing/2014/main" id="{CEF6D184-CDCA-4187-9EEE-2FC52B4FB220}"/>
                </a:ext>
              </a:extLst>
            </xdr:cNvPr>
            <xdr:cNvGraphicFramePr/>
          </xdr:nvGraphicFramePr>
          <xdr:xfrm>
            <a:off x="0" y="0"/>
            <a:ext cx="0" cy="0"/>
          </xdr:xfrm>
          <a:graphic>
            <a:graphicData uri="http://schemas.microsoft.com/office/drawing/2010/slicer">
              <sle:slicer xmlns:sle="http://schemas.microsoft.com/office/drawing/2010/slicer" name="Sklep 2"/>
            </a:graphicData>
          </a:graphic>
        </xdr:graphicFrame>
      </mc:Choice>
      <mc:Fallback xmlns="">
        <xdr:sp macro="" textlink="">
          <xdr:nvSpPr>
            <xdr:cNvPr id="0" name=""/>
            <xdr:cNvSpPr>
              <a:spLocks noTextEdit="1"/>
            </xdr:cNvSpPr>
          </xdr:nvSpPr>
          <xdr:spPr>
            <a:xfrm>
              <a:off x="17109853" y="1798546"/>
              <a:ext cx="1819632" cy="962584"/>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2</xdr:row>
      <xdr:rowOff>0</xdr:rowOff>
    </xdr:from>
    <xdr:to>
      <xdr:col>17</xdr:col>
      <xdr:colOff>572723</xdr:colOff>
      <xdr:row>7</xdr:row>
      <xdr:rowOff>71718</xdr:rowOff>
    </xdr:to>
    <mc:AlternateContent xmlns:mc="http://schemas.openxmlformats.org/markup-compatibility/2006" xmlns:a14="http://schemas.microsoft.com/office/drawing/2010/main">
      <mc:Choice Requires="a14">
        <xdr:graphicFrame macro="">
          <xdr:nvGraphicFramePr>
            <xdr:cNvPr id="11" name="Marka 2">
              <a:extLst>
                <a:ext uri="{FF2B5EF4-FFF2-40B4-BE49-F238E27FC236}">
                  <a16:creationId xmlns:a16="http://schemas.microsoft.com/office/drawing/2014/main" id="{8D400FFF-B3F0-4F4A-B2F5-A2C9E4899DDC}"/>
                </a:ext>
              </a:extLst>
            </xdr:cNvPr>
            <xdr:cNvGraphicFramePr/>
          </xdr:nvGraphicFramePr>
          <xdr:xfrm>
            <a:off x="0" y="0"/>
            <a:ext cx="0" cy="0"/>
          </xdr:xfrm>
          <a:graphic>
            <a:graphicData uri="http://schemas.microsoft.com/office/drawing/2010/slicer">
              <sle:slicer xmlns:sle="http://schemas.microsoft.com/office/drawing/2010/slicer" name="Marka 2"/>
            </a:graphicData>
          </a:graphic>
        </xdr:graphicFrame>
      </mc:Choice>
      <mc:Fallback xmlns="">
        <xdr:sp macro="" textlink="">
          <xdr:nvSpPr>
            <xdr:cNvPr id="0" name=""/>
            <xdr:cNvSpPr>
              <a:spLocks noTextEdit="1"/>
            </xdr:cNvSpPr>
          </xdr:nvSpPr>
          <xdr:spPr>
            <a:xfrm>
              <a:off x="17093045" y="381000"/>
              <a:ext cx="1819632" cy="1024218"/>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28014</xdr:colOff>
      <xdr:row>16</xdr:row>
      <xdr:rowOff>106456</xdr:rowOff>
    </xdr:from>
    <xdr:to>
      <xdr:col>17</xdr:col>
      <xdr:colOff>600737</xdr:colOff>
      <xdr:row>25</xdr:row>
      <xdr:rowOff>4483</xdr:rowOff>
    </xdr:to>
    <mc:AlternateContent xmlns:mc="http://schemas.openxmlformats.org/markup-compatibility/2006" xmlns:a14="http://schemas.microsoft.com/office/drawing/2010/main">
      <mc:Choice Requires="a14">
        <xdr:graphicFrame macro="">
          <xdr:nvGraphicFramePr>
            <xdr:cNvPr id="12" name="Numer Miesiąca">
              <a:extLst>
                <a:ext uri="{FF2B5EF4-FFF2-40B4-BE49-F238E27FC236}">
                  <a16:creationId xmlns:a16="http://schemas.microsoft.com/office/drawing/2014/main" id="{83E5AAB8-F887-4314-AD0E-614F0673A01F}"/>
                </a:ext>
              </a:extLst>
            </xdr:cNvPr>
            <xdr:cNvGraphicFramePr/>
          </xdr:nvGraphicFramePr>
          <xdr:xfrm>
            <a:off x="0" y="0"/>
            <a:ext cx="0" cy="0"/>
          </xdr:xfrm>
          <a:graphic>
            <a:graphicData uri="http://schemas.microsoft.com/office/drawing/2010/slicer">
              <sle:slicer xmlns:sle="http://schemas.microsoft.com/office/drawing/2010/slicer" name="Numer Miesiąca"/>
            </a:graphicData>
          </a:graphic>
        </xdr:graphicFrame>
      </mc:Choice>
      <mc:Fallback xmlns="">
        <xdr:sp macro="" textlink="">
          <xdr:nvSpPr>
            <xdr:cNvPr id="0" name=""/>
            <xdr:cNvSpPr>
              <a:spLocks noTextEdit="1"/>
            </xdr:cNvSpPr>
          </xdr:nvSpPr>
          <xdr:spPr>
            <a:xfrm>
              <a:off x="17121059" y="3154456"/>
              <a:ext cx="1819632" cy="1612527"/>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1368136</xdr:colOff>
      <xdr:row>115</xdr:row>
      <xdr:rowOff>65809</xdr:rowOff>
    </xdr:from>
    <xdr:to>
      <xdr:col>8</xdr:col>
      <xdr:colOff>329045</xdr:colOff>
      <xdr:row>129</xdr:row>
      <xdr:rowOff>142009</xdr:rowOff>
    </xdr:to>
    <xdr:graphicFrame macro="">
      <xdr:nvGraphicFramePr>
        <xdr:cNvPr id="5" name="Chart 4">
          <a:extLst>
            <a:ext uri="{FF2B5EF4-FFF2-40B4-BE49-F238E27FC236}">
              <a16:creationId xmlns:a16="http://schemas.microsoft.com/office/drawing/2014/main" id="{5BA3D69B-1938-497E-8F2D-0CDA76D1C0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1143000</xdr:colOff>
      <xdr:row>134</xdr:row>
      <xdr:rowOff>187036</xdr:rowOff>
    </xdr:from>
    <xdr:to>
      <xdr:col>8</xdr:col>
      <xdr:colOff>103909</xdr:colOff>
      <xdr:row>149</xdr:row>
      <xdr:rowOff>72736</xdr:rowOff>
    </xdr:to>
    <xdr:graphicFrame macro="">
      <xdr:nvGraphicFramePr>
        <xdr:cNvPr id="13" name="Chart 12">
          <a:extLst>
            <a:ext uri="{FF2B5EF4-FFF2-40B4-BE49-F238E27FC236}">
              <a16:creationId xmlns:a16="http://schemas.microsoft.com/office/drawing/2014/main" id="{AEB54594-8497-9BA7-01FA-5E53C5B70D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415636</xdr:colOff>
      <xdr:row>160</xdr:row>
      <xdr:rowOff>13854</xdr:rowOff>
    </xdr:from>
    <xdr:to>
      <xdr:col>9</xdr:col>
      <xdr:colOff>432954</xdr:colOff>
      <xdr:row>174</xdr:row>
      <xdr:rowOff>90054</xdr:rowOff>
    </xdr:to>
    <xdr:graphicFrame macro="">
      <xdr:nvGraphicFramePr>
        <xdr:cNvPr id="14" name="Chart 13">
          <a:extLst>
            <a:ext uri="{FF2B5EF4-FFF2-40B4-BE49-F238E27FC236}">
              <a16:creationId xmlns:a16="http://schemas.microsoft.com/office/drawing/2014/main" id="{B3DAD703-9442-60FA-90A4-4D2469498F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0</xdr:colOff>
      <xdr:row>55</xdr:row>
      <xdr:rowOff>0</xdr:rowOff>
    </xdr:from>
    <xdr:to>
      <xdr:col>3</xdr:col>
      <xdr:colOff>2382099</xdr:colOff>
      <xdr:row>69</xdr:row>
      <xdr:rowOff>83389</xdr:rowOff>
    </xdr:to>
    <xdr:graphicFrame macro="">
      <xdr:nvGraphicFramePr>
        <xdr:cNvPr id="15" name="Chart 14">
          <a:extLst>
            <a:ext uri="{FF2B5EF4-FFF2-40B4-BE49-F238E27FC236}">
              <a16:creationId xmlns:a16="http://schemas.microsoft.com/office/drawing/2014/main" id="{A328EFBD-4877-4FBD-B5FE-8B06E81208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0</xdr:colOff>
      <xdr:row>77</xdr:row>
      <xdr:rowOff>0</xdr:rowOff>
    </xdr:from>
    <xdr:to>
      <xdr:col>3</xdr:col>
      <xdr:colOff>1858224</xdr:colOff>
      <xdr:row>91</xdr:row>
      <xdr:rowOff>83388</xdr:rowOff>
    </xdr:to>
    <xdr:graphicFrame macro="">
      <xdr:nvGraphicFramePr>
        <xdr:cNvPr id="16" name="Chart 15">
          <a:extLst>
            <a:ext uri="{FF2B5EF4-FFF2-40B4-BE49-F238E27FC236}">
              <a16:creationId xmlns:a16="http://schemas.microsoft.com/office/drawing/2014/main" id="{CF531925-3544-4DEF-8707-7D1F3223F2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126999</xdr:colOff>
      <xdr:row>3</xdr:row>
      <xdr:rowOff>811</xdr:rowOff>
    </xdr:from>
    <xdr:to>
      <xdr:col>2</xdr:col>
      <xdr:colOff>616515</xdr:colOff>
      <xdr:row>4</xdr:row>
      <xdr:rowOff>180665</xdr:rowOff>
    </xdr:to>
    <xdr:sp macro="" textlink="#REF!">
      <xdr:nvSpPr>
        <xdr:cNvPr id="22" name="Rectangle: Rounded Corners 21">
          <a:hlinkClick xmlns:r="http://schemas.openxmlformats.org/officeDocument/2006/relationships" r:id="rId1"/>
          <a:extLst>
            <a:ext uri="{FF2B5EF4-FFF2-40B4-BE49-F238E27FC236}">
              <a16:creationId xmlns:a16="http://schemas.microsoft.com/office/drawing/2014/main" id="{42D6628F-21ED-4E68-8701-B01E7F1AE127}"/>
            </a:ext>
          </a:extLst>
        </xdr:cNvPr>
        <xdr:cNvSpPr/>
      </xdr:nvSpPr>
      <xdr:spPr>
        <a:xfrm>
          <a:off x="126999" y="731061"/>
          <a:ext cx="1928849" cy="423271"/>
        </a:xfrm>
        <a:prstGeom prst="roundRect">
          <a:avLst/>
        </a:prstGeom>
        <a:solidFill>
          <a:srgbClr val="D1D3F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l-PL" sz="1100" b="0" i="0" u="none" strike="noStrike">
              <a:solidFill>
                <a:srgbClr val="000000"/>
              </a:solidFill>
              <a:latin typeface="Aptos Narrow"/>
              <a:ea typeface="+mn-ea"/>
              <a:cs typeface="+mn-cs"/>
            </a:rPr>
            <a:t>Efektywność</a:t>
          </a:r>
        </a:p>
      </xdr:txBody>
    </xdr:sp>
    <xdr:clientData/>
  </xdr:twoCellAnchor>
  <xdr:twoCellAnchor>
    <xdr:from>
      <xdr:col>0</xdr:col>
      <xdr:colOff>121335</xdr:colOff>
      <xdr:row>5</xdr:row>
      <xdr:rowOff>68295</xdr:rowOff>
    </xdr:from>
    <xdr:to>
      <xdr:col>2</xdr:col>
      <xdr:colOff>618315</xdr:colOff>
      <xdr:row>7</xdr:row>
      <xdr:rowOff>4732</xdr:rowOff>
    </xdr:to>
    <xdr:sp macro="" textlink="#REF!">
      <xdr:nvSpPr>
        <xdr:cNvPr id="23" name="Rectangle: Rounded Corners 22">
          <a:hlinkClick xmlns:r="http://schemas.openxmlformats.org/officeDocument/2006/relationships" r:id="rId2"/>
          <a:extLst>
            <a:ext uri="{FF2B5EF4-FFF2-40B4-BE49-F238E27FC236}">
              <a16:creationId xmlns:a16="http://schemas.microsoft.com/office/drawing/2014/main" id="{1491033D-815F-4785-B5C9-34B9A4B70DE7}"/>
            </a:ext>
          </a:extLst>
        </xdr:cNvPr>
        <xdr:cNvSpPr/>
      </xdr:nvSpPr>
      <xdr:spPr>
        <a:xfrm>
          <a:off x="121335" y="1285378"/>
          <a:ext cx="1936313" cy="423271"/>
        </a:xfrm>
        <a:prstGeom prst="roundRect">
          <a:avLst/>
        </a:prstGeom>
        <a:solidFill>
          <a:srgbClr val="D1D3F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l-PL" sz="1100" b="0" i="0" u="none" strike="noStrike">
              <a:solidFill>
                <a:srgbClr val="000000"/>
              </a:solidFill>
              <a:latin typeface="Aptos Narrow"/>
              <a:ea typeface="+mn-ea"/>
              <a:cs typeface="+mn-cs"/>
            </a:rPr>
            <a:t>Straty</a:t>
          </a:r>
        </a:p>
      </xdr:txBody>
    </xdr:sp>
    <xdr:clientData/>
  </xdr:twoCellAnchor>
  <xdr:twoCellAnchor editAs="oneCell">
    <xdr:from>
      <xdr:col>1</xdr:col>
      <xdr:colOff>103910</xdr:colOff>
      <xdr:row>33</xdr:row>
      <xdr:rowOff>86591</xdr:rowOff>
    </xdr:from>
    <xdr:to>
      <xdr:col>10</xdr:col>
      <xdr:colOff>393962</xdr:colOff>
      <xdr:row>59</xdr:row>
      <xdr:rowOff>77756</xdr:rowOff>
    </xdr:to>
    <xdr:pic>
      <xdr:nvPicPr>
        <xdr:cNvPr id="24" name="Picture 23">
          <a:extLst>
            <a:ext uri="{FF2B5EF4-FFF2-40B4-BE49-F238E27FC236}">
              <a16:creationId xmlns:a16="http://schemas.microsoft.com/office/drawing/2014/main" id="{AB4E5611-4F67-7884-CE7D-19ED13FA0F04}"/>
            </a:ext>
          </a:extLst>
        </xdr:cNvPr>
        <xdr:cNvPicPr>
          <a:picLocks noChangeAspect="1"/>
        </xdr:cNvPicPr>
      </xdr:nvPicPr>
      <xdr:blipFill>
        <a:blip xmlns:r="http://schemas.openxmlformats.org/officeDocument/2006/relationships" r:embed="rId3"/>
        <a:stretch>
          <a:fillRect/>
        </a:stretch>
      </xdr:blipFill>
      <xdr:spPr>
        <a:xfrm>
          <a:off x="813955" y="7758546"/>
          <a:ext cx="6680462" cy="4944165"/>
        </a:xfrm>
        <a:prstGeom prst="rect">
          <a:avLst/>
        </a:prstGeom>
      </xdr:spPr>
    </xdr:pic>
    <xdr:clientData/>
  </xdr:twoCellAnchor>
  <xdr:twoCellAnchor>
    <xdr:from>
      <xdr:col>0</xdr:col>
      <xdr:colOff>125320</xdr:colOff>
      <xdr:row>0</xdr:row>
      <xdr:rowOff>165164</xdr:rowOff>
    </xdr:from>
    <xdr:to>
      <xdr:col>2</xdr:col>
      <xdr:colOff>622300</xdr:colOff>
      <xdr:row>2</xdr:row>
      <xdr:rowOff>94256</xdr:rowOff>
    </xdr:to>
    <xdr:sp macro="" textlink="#REF!">
      <xdr:nvSpPr>
        <xdr:cNvPr id="25" name="Rectangle: Rounded Corners 24">
          <a:hlinkClick xmlns:r="http://schemas.openxmlformats.org/officeDocument/2006/relationships" r:id="rId4"/>
          <a:extLst>
            <a:ext uri="{FF2B5EF4-FFF2-40B4-BE49-F238E27FC236}">
              <a16:creationId xmlns:a16="http://schemas.microsoft.com/office/drawing/2014/main" id="{1E5D4A14-6CBF-4ABD-9B16-DD7E79087DAE}"/>
            </a:ext>
          </a:extLst>
        </xdr:cNvPr>
        <xdr:cNvSpPr/>
      </xdr:nvSpPr>
      <xdr:spPr>
        <a:xfrm>
          <a:off x="125320" y="165164"/>
          <a:ext cx="1936313" cy="415925"/>
        </a:xfrm>
        <a:prstGeom prst="roundRect">
          <a:avLst/>
        </a:prstGeom>
        <a:solidFill>
          <a:srgbClr val="BEBA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l-PL" sz="1100" b="0" i="0" u="none" strike="noStrike">
              <a:solidFill>
                <a:srgbClr val="000000"/>
              </a:solidFill>
              <a:latin typeface="Aptos Narrow"/>
            </a:rPr>
            <a:t>Przegląd</a:t>
          </a:r>
        </a:p>
      </xdr:txBody>
    </xdr:sp>
    <xdr:clientData/>
  </xdr:twoCellAnchor>
  <xdr:twoCellAnchor>
    <xdr:from>
      <xdr:col>25</xdr:col>
      <xdr:colOff>810380</xdr:colOff>
      <xdr:row>24</xdr:row>
      <xdr:rowOff>206374</xdr:rowOff>
    </xdr:from>
    <xdr:to>
      <xdr:col>33</xdr:col>
      <xdr:colOff>387804</xdr:colOff>
      <xdr:row>42</xdr:row>
      <xdr:rowOff>6804</xdr:rowOff>
    </xdr:to>
    <xdr:sp macro="" textlink="">
      <xdr:nvSpPr>
        <xdr:cNvPr id="28" name="Rectangle: Rounded Corners 27">
          <a:extLst>
            <a:ext uri="{FF2B5EF4-FFF2-40B4-BE49-F238E27FC236}">
              <a16:creationId xmlns:a16="http://schemas.microsoft.com/office/drawing/2014/main" id="{DEFF134E-AEB1-1FB9-334E-7365ADDCC83C}"/>
            </a:ext>
          </a:extLst>
        </xdr:cNvPr>
        <xdr:cNvSpPr/>
      </xdr:nvSpPr>
      <xdr:spPr>
        <a:xfrm>
          <a:off x="19819559" y="6084660"/>
          <a:ext cx="4707316" cy="3365501"/>
        </a:xfrm>
        <a:prstGeom prst="roundRect">
          <a:avLst/>
        </a:prstGeom>
        <a:solidFill>
          <a:schemeClr val="bg1">
            <a:alpha val="50196"/>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pl-PL" sz="1200">
              <a:solidFill>
                <a:schemeClr val="tx1"/>
              </a:solidFill>
            </a:rPr>
            <a:t>...</a:t>
          </a:r>
          <a:r>
            <a:rPr lang="pl-PL" sz="1200" baseline="0">
              <a:solidFill>
                <a:schemeClr val="tx1"/>
              </a:solidFill>
            </a:rPr>
            <a:t> </a:t>
          </a:r>
          <a:endParaRPr lang="pl-PL" sz="1200">
            <a:solidFill>
              <a:schemeClr val="tx1"/>
            </a:solidFill>
          </a:endParaRPr>
        </a:p>
      </xdr:txBody>
    </xdr:sp>
    <xdr:clientData/>
  </xdr:twoCellAnchor>
  <xdr:twoCellAnchor>
    <xdr:from>
      <xdr:col>3</xdr:col>
      <xdr:colOff>116416</xdr:colOff>
      <xdr:row>7</xdr:row>
      <xdr:rowOff>165100</xdr:rowOff>
    </xdr:from>
    <xdr:to>
      <xdr:col>11</xdr:col>
      <xdr:colOff>268816</xdr:colOff>
      <xdr:row>11</xdr:row>
      <xdr:rowOff>133350</xdr:rowOff>
    </xdr:to>
    <xdr:grpSp>
      <xdr:nvGrpSpPr>
        <xdr:cNvPr id="7" name="Group 6">
          <a:extLst>
            <a:ext uri="{FF2B5EF4-FFF2-40B4-BE49-F238E27FC236}">
              <a16:creationId xmlns:a16="http://schemas.microsoft.com/office/drawing/2014/main" id="{35525ECC-8ECA-021B-18A2-5CC61B0CDCF9}"/>
            </a:ext>
          </a:extLst>
        </xdr:cNvPr>
        <xdr:cNvGrpSpPr/>
      </xdr:nvGrpSpPr>
      <xdr:grpSpPr>
        <a:xfrm>
          <a:off x="2274120" y="1865993"/>
          <a:ext cx="5906278" cy="940189"/>
          <a:chOff x="2259542" y="1898650"/>
          <a:chExt cx="5810955" cy="958850"/>
        </a:xfrm>
      </xdr:grpSpPr>
      <xdr:sp macro="" textlink="">
        <xdr:nvSpPr>
          <xdr:cNvPr id="46" name="Rectangle: Rounded Corners 45">
            <a:extLst>
              <a:ext uri="{FF2B5EF4-FFF2-40B4-BE49-F238E27FC236}">
                <a16:creationId xmlns:a16="http://schemas.microsoft.com/office/drawing/2014/main" id="{DE4AB454-2F9F-C94D-A0BA-2E01519D03D3}"/>
              </a:ext>
            </a:extLst>
          </xdr:cNvPr>
          <xdr:cNvSpPr/>
        </xdr:nvSpPr>
        <xdr:spPr>
          <a:xfrm>
            <a:off x="2259542" y="1898650"/>
            <a:ext cx="5757334" cy="958850"/>
          </a:xfrm>
          <a:prstGeom prst="roundRect">
            <a:avLst/>
          </a:prstGeom>
          <a:solidFill>
            <a:srgbClr val="D1D3F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sp macro="" textlink="">
        <xdr:nvSpPr>
          <xdr:cNvPr id="39" name="TextBox 38">
            <a:extLst>
              <a:ext uri="{FF2B5EF4-FFF2-40B4-BE49-F238E27FC236}">
                <a16:creationId xmlns:a16="http://schemas.microsoft.com/office/drawing/2014/main" id="{A2F33EC8-4C4B-7735-1D6F-ED1D53F637A7}"/>
              </a:ext>
            </a:extLst>
          </xdr:cNvPr>
          <xdr:cNvSpPr txBox="1"/>
        </xdr:nvSpPr>
        <xdr:spPr>
          <a:xfrm>
            <a:off x="2325863" y="1976291"/>
            <a:ext cx="5744634" cy="794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lvl="0" indent="-171450">
              <a:buFont typeface="Wingdings" panose="05000000000000000000" pitchFamily="2" charset="2"/>
              <a:buChar char="§"/>
            </a:pPr>
            <a:r>
              <a:rPr lang="pl-PL" b="1"/>
              <a:t>83% odzysku</a:t>
            </a:r>
            <a:r>
              <a:rPr lang="pl-PL"/>
              <a:t> - skutecznie zminimalizowano straty towaru wytypowanego na miesiąc przed upływem ważności.</a:t>
            </a:r>
          </a:p>
          <a:p>
            <a:pPr marL="171450" lvl="0" indent="-171450">
              <a:buFont typeface="Wingdings" panose="05000000000000000000" pitchFamily="2" charset="2"/>
              <a:buChar char="§"/>
            </a:pPr>
            <a:r>
              <a:rPr lang="pl-PL" b="1"/>
              <a:t>37% udziału przecen</a:t>
            </a:r>
            <a:r>
              <a:rPr lang="pl-PL"/>
              <a:t> -</a:t>
            </a:r>
            <a:r>
              <a:rPr lang="pl-PL" baseline="0"/>
              <a:t> </a:t>
            </a:r>
            <a:r>
              <a:rPr lang="pl-PL"/>
              <a:t>ponad 1/3 odzyskanego przychodu to bezpośredni efekt nałożenia rabatów na produkty z krótkim</a:t>
            </a:r>
            <a:r>
              <a:rPr lang="pl-PL" baseline="0"/>
              <a:t> terminem ważności</a:t>
            </a:r>
            <a:r>
              <a:rPr lang="pl-PL"/>
              <a:t>.</a:t>
            </a:r>
          </a:p>
        </xdr:txBody>
      </xdr:sp>
    </xdr:grpSp>
    <xdr:clientData/>
  </xdr:twoCellAnchor>
  <xdr:twoCellAnchor>
    <xdr:from>
      <xdr:col>3</xdr:col>
      <xdr:colOff>97366</xdr:colOff>
      <xdr:row>11</xdr:row>
      <xdr:rowOff>219075</xdr:rowOff>
    </xdr:from>
    <xdr:to>
      <xdr:col>11</xdr:col>
      <xdr:colOff>238125</xdr:colOff>
      <xdr:row>17</xdr:row>
      <xdr:rowOff>200025</xdr:rowOff>
    </xdr:to>
    <xdr:grpSp>
      <xdr:nvGrpSpPr>
        <xdr:cNvPr id="5" name="Group 4">
          <a:extLst>
            <a:ext uri="{FF2B5EF4-FFF2-40B4-BE49-F238E27FC236}">
              <a16:creationId xmlns:a16="http://schemas.microsoft.com/office/drawing/2014/main" id="{18EB0E39-82BE-F3B8-994B-1BA33D0DF353}"/>
            </a:ext>
          </a:extLst>
        </xdr:cNvPr>
        <xdr:cNvGrpSpPr/>
      </xdr:nvGrpSpPr>
      <xdr:grpSpPr>
        <a:xfrm>
          <a:off x="2255070" y="2891907"/>
          <a:ext cx="5894637" cy="1438858"/>
          <a:chOff x="2240491" y="2943225"/>
          <a:chExt cx="5897035" cy="1466850"/>
        </a:xfrm>
      </xdr:grpSpPr>
      <xdr:sp macro="" textlink="">
        <xdr:nvSpPr>
          <xdr:cNvPr id="4" name="Rectangle: Rounded Corners 3">
            <a:extLst>
              <a:ext uri="{FF2B5EF4-FFF2-40B4-BE49-F238E27FC236}">
                <a16:creationId xmlns:a16="http://schemas.microsoft.com/office/drawing/2014/main" id="{2D398791-CFFC-4C6C-9176-467BFB8697A1}"/>
              </a:ext>
            </a:extLst>
          </xdr:cNvPr>
          <xdr:cNvSpPr/>
        </xdr:nvSpPr>
        <xdr:spPr>
          <a:xfrm>
            <a:off x="2240491" y="2943225"/>
            <a:ext cx="5846233" cy="1466850"/>
          </a:xfrm>
          <a:prstGeom prst="roundRect">
            <a:avLst/>
          </a:prstGeom>
          <a:solidFill>
            <a:schemeClr val="bg1">
              <a:lumMod val="95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sp macro="" textlink="">
        <xdr:nvSpPr>
          <xdr:cNvPr id="45" name="TextBox 44">
            <a:extLst>
              <a:ext uri="{FF2B5EF4-FFF2-40B4-BE49-F238E27FC236}">
                <a16:creationId xmlns:a16="http://schemas.microsoft.com/office/drawing/2014/main" id="{1B180B11-F39E-BD31-7E1B-64434B245D1E}"/>
              </a:ext>
            </a:extLst>
          </xdr:cNvPr>
          <xdr:cNvSpPr txBox="1"/>
        </xdr:nvSpPr>
        <xdr:spPr>
          <a:xfrm>
            <a:off x="2306110" y="2962275"/>
            <a:ext cx="5831416" cy="1447800"/>
          </a:xfrm>
          <a:prstGeom prst="rect">
            <a:avLst/>
          </a:prstGeom>
          <a:noFill/>
          <a:ln>
            <a:noFill/>
            <a:extLst>
              <a:ext uri="{C807C97D-BFC1-408E-A445-0C87EB9F89A2}">
                <ask:lineSketchStyleProps xmlns:ask="http://schemas.microsoft.com/office/drawing/2018/sketchyshapes" sd="1219033472">
                  <a:custGeom>
                    <a:avLst/>
                    <a:gdLst>
                      <a:gd name="csX0" fmla="*/ 0 w 5831416"/>
                      <a:gd name="csY0" fmla="*/ 0 h 1570430"/>
                      <a:gd name="csX1" fmla="*/ 524827 w 5831416"/>
                      <a:gd name="csY1" fmla="*/ 0 h 1570430"/>
                      <a:gd name="csX2" fmla="*/ 933027 w 5831416"/>
                      <a:gd name="csY2" fmla="*/ 0 h 1570430"/>
                      <a:gd name="csX3" fmla="*/ 1632796 w 5831416"/>
                      <a:gd name="csY3" fmla="*/ 0 h 1570430"/>
                      <a:gd name="csX4" fmla="*/ 2157624 w 5831416"/>
                      <a:gd name="csY4" fmla="*/ 0 h 1570430"/>
                      <a:gd name="csX5" fmla="*/ 2682451 w 5831416"/>
                      <a:gd name="csY5" fmla="*/ 0 h 1570430"/>
                      <a:gd name="csX6" fmla="*/ 3382221 w 5831416"/>
                      <a:gd name="csY6" fmla="*/ 0 h 1570430"/>
                      <a:gd name="csX7" fmla="*/ 3848735 w 5831416"/>
                      <a:gd name="csY7" fmla="*/ 0 h 1570430"/>
                      <a:gd name="csX8" fmla="*/ 4548504 w 5831416"/>
                      <a:gd name="csY8" fmla="*/ 0 h 1570430"/>
                      <a:gd name="csX9" fmla="*/ 5248274 w 5831416"/>
                      <a:gd name="csY9" fmla="*/ 0 h 1570430"/>
                      <a:gd name="csX10" fmla="*/ 5831416 w 5831416"/>
                      <a:gd name="csY10" fmla="*/ 0 h 1570430"/>
                      <a:gd name="csX11" fmla="*/ 5831416 w 5831416"/>
                      <a:gd name="csY11" fmla="*/ 554885 h 1570430"/>
                      <a:gd name="csX12" fmla="*/ 5831416 w 5831416"/>
                      <a:gd name="csY12" fmla="*/ 1094066 h 1570430"/>
                      <a:gd name="csX13" fmla="*/ 5831416 w 5831416"/>
                      <a:gd name="csY13" fmla="*/ 1570430 h 1570430"/>
                      <a:gd name="csX14" fmla="*/ 5248274 w 5831416"/>
                      <a:gd name="csY14" fmla="*/ 1570430 h 1570430"/>
                      <a:gd name="csX15" fmla="*/ 4781761 w 5831416"/>
                      <a:gd name="csY15" fmla="*/ 1570430 h 1570430"/>
                      <a:gd name="csX16" fmla="*/ 4198620 w 5831416"/>
                      <a:gd name="csY16" fmla="*/ 1570430 h 1570430"/>
                      <a:gd name="csX17" fmla="*/ 3498850 w 5831416"/>
                      <a:gd name="csY17" fmla="*/ 1570430 h 1570430"/>
                      <a:gd name="csX18" fmla="*/ 2915708 w 5831416"/>
                      <a:gd name="csY18" fmla="*/ 1570430 h 1570430"/>
                      <a:gd name="csX19" fmla="*/ 2507509 w 5831416"/>
                      <a:gd name="csY19" fmla="*/ 1570430 h 1570430"/>
                      <a:gd name="csX20" fmla="*/ 2040996 w 5831416"/>
                      <a:gd name="csY20" fmla="*/ 1570430 h 1570430"/>
                      <a:gd name="csX21" fmla="*/ 1341226 w 5831416"/>
                      <a:gd name="csY21" fmla="*/ 1570430 h 1570430"/>
                      <a:gd name="csX22" fmla="*/ 758084 w 5831416"/>
                      <a:gd name="csY22" fmla="*/ 1570430 h 1570430"/>
                      <a:gd name="csX23" fmla="*/ 0 w 5831416"/>
                      <a:gd name="csY23" fmla="*/ 1570430 h 1570430"/>
                      <a:gd name="csX24" fmla="*/ 0 w 5831416"/>
                      <a:gd name="csY24" fmla="*/ 1046953 h 1570430"/>
                      <a:gd name="csX25" fmla="*/ 0 w 5831416"/>
                      <a:gd name="csY25" fmla="*/ 570590 h 1570430"/>
                      <a:gd name="csX26" fmla="*/ 0 w 5831416"/>
                      <a:gd name="csY26" fmla="*/ 0 h 157043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Lst>
                    <a:rect l="l" t="t" r="r" b="b"/>
                    <a:pathLst>
                      <a:path w="5831416" h="1570430" extrusionOk="0">
                        <a:moveTo>
                          <a:pt x="0" y="0"/>
                        </a:moveTo>
                        <a:cubicBezTo>
                          <a:pt x="226942" y="-9327"/>
                          <a:pt x="346576" y="17589"/>
                          <a:pt x="524827" y="0"/>
                        </a:cubicBezTo>
                        <a:cubicBezTo>
                          <a:pt x="703078" y="-17589"/>
                          <a:pt x="829313" y="40265"/>
                          <a:pt x="933027" y="0"/>
                        </a:cubicBezTo>
                        <a:cubicBezTo>
                          <a:pt x="1036741" y="-40265"/>
                          <a:pt x="1386287" y="45113"/>
                          <a:pt x="1632796" y="0"/>
                        </a:cubicBezTo>
                        <a:cubicBezTo>
                          <a:pt x="1879305" y="-45113"/>
                          <a:pt x="1954582" y="46301"/>
                          <a:pt x="2157624" y="0"/>
                        </a:cubicBezTo>
                        <a:cubicBezTo>
                          <a:pt x="2360666" y="-46301"/>
                          <a:pt x="2425246" y="50574"/>
                          <a:pt x="2682451" y="0"/>
                        </a:cubicBezTo>
                        <a:cubicBezTo>
                          <a:pt x="2939656" y="-50574"/>
                          <a:pt x="3034852" y="25410"/>
                          <a:pt x="3382221" y="0"/>
                        </a:cubicBezTo>
                        <a:cubicBezTo>
                          <a:pt x="3729590" y="-25410"/>
                          <a:pt x="3666543" y="24090"/>
                          <a:pt x="3848735" y="0"/>
                        </a:cubicBezTo>
                        <a:cubicBezTo>
                          <a:pt x="4030927" y="-24090"/>
                          <a:pt x="4286307" y="78511"/>
                          <a:pt x="4548504" y="0"/>
                        </a:cubicBezTo>
                        <a:cubicBezTo>
                          <a:pt x="4810701" y="-78511"/>
                          <a:pt x="5010022" y="52803"/>
                          <a:pt x="5248274" y="0"/>
                        </a:cubicBezTo>
                        <a:cubicBezTo>
                          <a:pt x="5486526" y="-52803"/>
                          <a:pt x="5616244" y="37521"/>
                          <a:pt x="5831416" y="0"/>
                        </a:cubicBezTo>
                        <a:cubicBezTo>
                          <a:pt x="5831521" y="233618"/>
                          <a:pt x="5808336" y="286777"/>
                          <a:pt x="5831416" y="554885"/>
                        </a:cubicBezTo>
                        <a:cubicBezTo>
                          <a:pt x="5854496" y="822994"/>
                          <a:pt x="5768695" y="932865"/>
                          <a:pt x="5831416" y="1094066"/>
                        </a:cubicBezTo>
                        <a:cubicBezTo>
                          <a:pt x="5894137" y="1255267"/>
                          <a:pt x="5779529" y="1405919"/>
                          <a:pt x="5831416" y="1570430"/>
                        </a:cubicBezTo>
                        <a:cubicBezTo>
                          <a:pt x="5574254" y="1625393"/>
                          <a:pt x="5519764" y="1546085"/>
                          <a:pt x="5248274" y="1570430"/>
                        </a:cubicBezTo>
                        <a:cubicBezTo>
                          <a:pt x="4976784" y="1594775"/>
                          <a:pt x="4959316" y="1567161"/>
                          <a:pt x="4781761" y="1570430"/>
                        </a:cubicBezTo>
                        <a:cubicBezTo>
                          <a:pt x="4604206" y="1573699"/>
                          <a:pt x="4439238" y="1500971"/>
                          <a:pt x="4198620" y="1570430"/>
                        </a:cubicBezTo>
                        <a:cubicBezTo>
                          <a:pt x="3958002" y="1639889"/>
                          <a:pt x="3800275" y="1562231"/>
                          <a:pt x="3498850" y="1570430"/>
                        </a:cubicBezTo>
                        <a:cubicBezTo>
                          <a:pt x="3197425" y="1578629"/>
                          <a:pt x="3180340" y="1566661"/>
                          <a:pt x="2915708" y="1570430"/>
                        </a:cubicBezTo>
                        <a:cubicBezTo>
                          <a:pt x="2651076" y="1574199"/>
                          <a:pt x="2662666" y="1563183"/>
                          <a:pt x="2507509" y="1570430"/>
                        </a:cubicBezTo>
                        <a:cubicBezTo>
                          <a:pt x="2352352" y="1577677"/>
                          <a:pt x="2164769" y="1526779"/>
                          <a:pt x="2040996" y="1570430"/>
                        </a:cubicBezTo>
                        <a:cubicBezTo>
                          <a:pt x="1917223" y="1614081"/>
                          <a:pt x="1544313" y="1504241"/>
                          <a:pt x="1341226" y="1570430"/>
                        </a:cubicBezTo>
                        <a:cubicBezTo>
                          <a:pt x="1138139" y="1636619"/>
                          <a:pt x="944869" y="1536148"/>
                          <a:pt x="758084" y="1570430"/>
                        </a:cubicBezTo>
                        <a:cubicBezTo>
                          <a:pt x="571299" y="1604712"/>
                          <a:pt x="214825" y="1560774"/>
                          <a:pt x="0" y="1570430"/>
                        </a:cubicBezTo>
                        <a:cubicBezTo>
                          <a:pt x="-37501" y="1407513"/>
                          <a:pt x="40853" y="1284202"/>
                          <a:pt x="0" y="1046953"/>
                        </a:cubicBezTo>
                        <a:cubicBezTo>
                          <a:pt x="-40853" y="809704"/>
                          <a:pt x="32747" y="789729"/>
                          <a:pt x="0" y="570590"/>
                        </a:cubicBezTo>
                        <a:cubicBezTo>
                          <a:pt x="-32747" y="351451"/>
                          <a:pt x="14939" y="125270"/>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lvl="0"/>
            <a:r>
              <a:rPr lang="pl-PL" sz="1050" b="1">
                <a:solidFill>
                  <a:schemeClr val="tx1"/>
                </a:solidFill>
                <a:effectLst/>
                <a:latin typeface="+mn-lt"/>
                <a:ea typeface="+mn-ea"/>
                <a:cs typeface="+mn-cs"/>
              </a:rPr>
              <a:t>Wartość zagrożona </a:t>
            </a:r>
            <a:r>
              <a:rPr lang="pl-PL" sz="1050" b="0">
                <a:solidFill>
                  <a:schemeClr val="tx1"/>
                </a:solidFill>
                <a:effectLst/>
                <a:latin typeface="+mn-lt"/>
                <a:ea typeface="+mn-ea"/>
                <a:cs typeface="+mn-cs"/>
              </a:rPr>
              <a:t>-</a:t>
            </a:r>
            <a:r>
              <a:rPr lang="pl-PL" sz="1050">
                <a:solidFill>
                  <a:schemeClr val="tx1"/>
                </a:solidFill>
                <a:effectLst/>
                <a:latin typeface="+mn-lt"/>
                <a:ea typeface="+mn-ea"/>
                <a:cs typeface="+mn-cs"/>
              </a:rPr>
              <a:t> wartość towaru, do którego końca terminu ważności pozostał </a:t>
            </a:r>
            <a:r>
              <a:rPr lang="pl-PL" sz="1050" b="1">
                <a:solidFill>
                  <a:schemeClr val="tx1"/>
                </a:solidFill>
                <a:effectLst/>
                <a:latin typeface="+mn-lt"/>
                <a:ea typeface="+mn-ea"/>
                <a:cs typeface="+mn-cs"/>
              </a:rPr>
              <a:t>1 miesiąc</a:t>
            </a:r>
            <a:r>
              <a:rPr lang="pl-PL" sz="1050">
                <a:solidFill>
                  <a:schemeClr val="tx1"/>
                </a:solidFill>
                <a:effectLst/>
                <a:latin typeface="+mn-lt"/>
                <a:ea typeface="+mn-ea"/>
                <a:cs typeface="+mn-cs"/>
              </a:rPr>
              <a:t>.</a:t>
            </a:r>
          </a:p>
          <a:p>
            <a:pPr lvl="0" algn="l"/>
            <a:r>
              <a:rPr lang="pl-PL" sz="1050" b="1">
                <a:solidFill>
                  <a:schemeClr val="tx1"/>
                </a:solidFill>
                <a:effectLst/>
                <a:latin typeface="+mn-lt"/>
                <a:ea typeface="+mn-ea"/>
                <a:cs typeface="+mn-cs"/>
              </a:rPr>
              <a:t>Szacowany odzysk </a:t>
            </a:r>
            <a:r>
              <a:rPr lang="pl-PL" sz="1050" b="0">
                <a:solidFill>
                  <a:schemeClr val="tx1"/>
                </a:solidFill>
                <a:effectLst/>
                <a:latin typeface="+mn-lt"/>
                <a:ea typeface="+mn-ea"/>
                <a:cs typeface="+mn-cs"/>
              </a:rPr>
              <a:t>-</a:t>
            </a:r>
            <a:r>
              <a:rPr lang="pl-PL" sz="1050">
                <a:solidFill>
                  <a:schemeClr val="tx1"/>
                </a:solidFill>
                <a:effectLst/>
                <a:latin typeface="+mn-lt"/>
                <a:ea typeface="+mn-ea"/>
                <a:cs typeface="+mn-cs"/>
              </a:rPr>
              <a:t> łączny przychód ze sprzedaży zagrożonego towaru </a:t>
            </a:r>
          </a:p>
          <a:p>
            <a:pPr lvl="0"/>
            <a:r>
              <a:rPr lang="pl-PL" sz="1050">
                <a:solidFill>
                  <a:schemeClr val="tx1"/>
                </a:solidFill>
                <a:effectLst/>
                <a:latin typeface="+mn-lt"/>
                <a:ea typeface="+mn-ea"/>
                <a:cs typeface="+mn-cs"/>
              </a:rPr>
              <a:t>(sprzedaż standardowa + dedykowane przeceny).</a:t>
            </a:r>
          </a:p>
          <a:p>
            <a:pPr lvl="0"/>
            <a:r>
              <a:rPr lang="pl-PL" sz="1050" b="1">
                <a:solidFill>
                  <a:schemeClr val="tx1"/>
                </a:solidFill>
                <a:effectLst/>
                <a:latin typeface="+mn-lt"/>
                <a:ea typeface="+mn-ea"/>
                <a:cs typeface="+mn-cs"/>
              </a:rPr>
              <a:t>Szacowana skuteczność odzysku </a:t>
            </a:r>
            <a:r>
              <a:rPr lang="pl-PL" sz="1050" b="0">
                <a:solidFill>
                  <a:schemeClr val="tx1"/>
                </a:solidFill>
                <a:effectLst/>
                <a:latin typeface="+mn-lt"/>
                <a:ea typeface="+mn-ea"/>
                <a:cs typeface="+mn-cs"/>
              </a:rPr>
              <a:t>-</a:t>
            </a:r>
            <a:r>
              <a:rPr lang="pl-PL" sz="1050">
                <a:solidFill>
                  <a:schemeClr val="tx1"/>
                </a:solidFill>
                <a:effectLst/>
                <a:latin typeface="+mn-lt"/>
                <a:ea typeface="+mn-ea"/>
                <a:cs typeface="+mn-cs"/>
              </a:rPr>
              <a:t> procent zrealizowanego przychodu względem wartości zagrożonej.</a:t>
            </a:r>
          </a:p>
          <a:p>
            <a:pPr lvl="0"/>
            <a:r>
              <a:rPr lang="pl-PL" sz="1050" b="1">
                <a:solidFill>
                  <a:schemeClr val="tx1"/>
                </a:solidFill>
                <a:effectLst/>
                <a:latin typeface="+mn-lt"/>
                <a:ea typeface="+mn-ea"/>
                <a:cs typeface="+mn-cs"/>
              </a:rPr>
              <a:t>Odzysk z przecen </a:t>
            </a:r>
            <a:r>
              <a:rPr lang="pl-PL" sz="1050" b="0">
                <a:solidFill>
                  <a:schemeClr val="tx1"/>
                </a:solidFill>
                <a:effectLst/>
                <a:latin typeface="+mn-lt"/>
                <a:ea typeface="+mn-ea"/>
                <a:cs typeface="+mn-cs"/>
              </a:rPr>
              <a:t>-</a:t>
            </a:r>
            <a:r>
              <a:rPr lang="pl-PL" sz="1050" b="1" baseline="0">
                <a:solidFill>
                  <a:schemeClr val="tx1"/>
                </a:solidFill>
                <a:effectLst/>
                <a:latin typeface="+mn-lt"/>
                <a:ea typeface="+mn-ea"/>
                <a:cs typeface="+mn-cs"/>
              </a:rPr>
              <a:t> </a:t>
            </a:r>
            <a:r>
              <a:rPr lang="pl-PL" sz="1050" b="0" baseline="0">
                <a:solidFill>
                  <a:schemeClr val="tx1"/>
                </a:solidFill>
                <a:effectLst/>
                <a:latin typeface="+mn-lt"/>
                <a:ea typeface="+mn-ea"/>
                <a:cs typeface="+mn-cs"/>
              </a:rPr>
              <a:t>p</a:t>
            </a:r>
            <a:r>
              <a:rPr lang="pl-PL" sz="1050">
                <a:solidFill>
                  <a:schemeClr val="tx1"/>
                </a:solidFill>
                <a:effectLst/>
                <a:latin typeface="+mn-lt"/>
                <a:ea typeface="+mn-ea"/>
                <a:cs typeface="+mn-cs"/>
              </a:rPr>
              <a:t>rzychód wygenerowany bezpośrednio przez dedykowane obniżki cenowe</a:t>
            </a:r>
          </a:p>
          <a:p>
            <a:pPr lvl="0"/>
            <a:r>
              <a:rPr lang="pl-PL" sz="1050">
                <a:solidFill>
                  <a:schemeClr val="tx1"/>
                </a:solidFill>
                <a:effectLst/>
                <a:latin typeface="+mn-lt"/>
                <a:ea typeface="+mn-ea"/>
                <a:cs typeface="+mn-cs"/>
              </a:rPr>
              <a:t>na krótkie daty.</a:t>
            </a:r>
          </a:p>
          <a:p>
            <a:pPr lvl="0"/>
            <a:r>
              <a:rPr lang="pl-PL" sz="1050" b="1">
                <a:solidFill>
                  <a:schemeClr val="tx1"/>
                </a:solidFill>
                <a:effectLst/>
                <a:latin typeface="+mn-lt"/>
                <a:ea typeface="+mn-ea"/>
                <a:cs typeface="+mn-cs"/>
              </a:rPr>
              <a:t>Odzysk standardowy </a:t>
            </a:r>
            <a:r>
              <a:rPr lang="pl-PL" sz="1050" b="0">
                <a:solidFill>
                  <a:schemeClr val="tx1"/>
                </a:solidFill>
                <a:effectLst/>
                <a:latin typeface="+mn-lt"/>
                <a:ea typeface="+mn-ea"/>
                <a:cs typeface="+mn-cs"/>
              </a:rPr>
              <a:t>- </a:t>
            </a:r>
            <a:r>
              <a:rPr lang="pl-PL" sz="1050">
                <a:solidFill>
                  <a:schemeClr val="tx1"/>
                </a:solidFill>
                <a:effectLst/>
                <a:latin typeface="+mn-lt"/>
                <a:ea typeface="+mn-ea"/>
                <a:cs typeface="+mn-cs"/>
              </a:rPr>
              <a:t>sprzedaż zrealizowana przed nałożeniem dedykowanej przeceny</a:t>
            </a:r>
          </a:p>
          <a:p>
            <a:pPr lvl="0"/>
            <a:r>
              <a:rPr lang="pl-PL" sz="1050">
                <a:solidFill>
                  <a:schemeClr val="tx1"/>
                </a:solidFill>
                <a:effectLst/>
                <a:latin typeface="+mn-lt"/>
                <a:ea typeface="+mn-ea"/>
                <a:cs typeface="+mn-cs"/>
              </a:rPr>
              <a:t>(obejmuje cenę regularną oraz ew. promocje ogólnosklepowe).</a:t>
            </a:r>
          </a:p>
        </xdr:txBody>
      </xdr:sp>
    </xdr:grpSp>
    <xdr:clientData/>
  </xdr:twoCellAnchor>
  <xdr:twoCellAnchor>
    <xdr:from>
      <xdr:col>3</xdr:col>
      <xdr:colOff>104775</xdr:colOff>
      <xdr:row>18</xdr:row>
      <xdr:rowOff>38100</xdr:rowOff>
    </xdr:from>
    <xdr:to>
      <xdr:col>16</xdr:col>
      <xdr:colOff>591608</xdr:colOff>
      <xdr:row>27</xdr:row>
      <xdr:rowOff>139700</xdr:rowOff>
    </xdr:to>
    <xdr:graphicFrame macro="">
      <xdr:nvGraphicFramePr>
        <xdr:cNvPr id="65" name="Chart 64">
          <a:extLst>
            <a:ext uri="{FF2B5EF4-FFF2-40B4-BE49-F238E27FC236}">
              <a16:creationId xmlns:a16="http://schemas.microsoft.com/office/drawing/2014/main" id="{1749FBED-19B1-4160-A6C3-DC2DD1878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137583</xdr:colOff>
      <xdr:row>8</xdr:row>
      <xdr:rowOff>42333</xdr:rowOff>
    </xdr:from>
    <xdr:to>
      <xdr:col>2</xdr:col>
      <xdr:colOff>624417</xdr:colOff>
      <xdr:row>12</xdr:row>
      <xdr:rowOff>185208</xdr:rowOff>
    </xdr:to>
    <xdr:grpSp>
      <xdr:nvGrpSpPr>
        <xdr:cNvPr id="30" name="Group 29">
          <a:extLst>
            <a:ext uri="{FF2B5EF4-FFF2-40B4-BE49-F238E27FC236}">
              <a16:creationId xmlns:a16="http://schemas.microsoft.com/office/drawing/2014/main" id="{8941934C-7225-E78A-6E30-25DCCA2188D2}"/>
            </a:ext>
          </a:extLst>
        </xdr:cNvPr>
        <xdr:cNvGrpSpPr/>
      </xdr:nvGrpSpPr>
      <xdr:grpSpPr>
        <a:xfrm>
          <a:off x="137583" y="1986211"/>
          <a:ext cx="1925303" cy="1114813"/>
          <a:chOff x="198653" y="1947333"/>
          <a:chExt cx="1934197" cy="1116542"/>
        </a:xfrm>
      </xdr:grpSpPr>
      <xdr:sp macro="" textlink="#REF!">
        <xdr:nvSpPr>
          <xdr:cNvPr id="8" name="Rectangle: Rounded Corners 7">
            <a:extLst>
              <a:ext uri="{FF2B5EF4-FFF2-40B4-BE49-F238E27FC236}">
                <a16:creationId xmlns:a16="http://schemas.microsoft.com/office/drawing/2014/main" id="{F2FDD359-272C-46F2-97E8-0C9ED6474AD9}"/>
              </a:ext>
            </a:extLst>
          </xdr:cNvPr>
          <xdr:cNvSpPr/>
        </xdr:nvSpPr>
        <xdr:spPr>
          <a:xfrm>
            <a:off x="198653" y="1947333"/>
            <a:ext cx="1934197" cy="1116542"/>
          </a:xfrm>
          <a:prstGeom prst="roundRect">
            <a:avLst/>
          </a:prstGeom>
          <a:solidFill>
            <a:srgbClr val="BEBA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pl-PL" sz="1100" b="0" i="0" u="none" strike="noStrike">
              <a:solidFill>
                <a:srgbClr val="000000"/>
              </a:solidFill>
              <a:latin typeface="Aptos Narrow"/>
            </a:endParaRPr>
          </a:p>
        </xdr:txBody>
      </xdr:sp>
      <mc:AlternateContent xmlns:mc="http://schemas.openxmlformats.org/markup-compatibility/2006" xmlns:a14="http://schemas.microsoft.com/office/drawing/2010/main">
        <mc:Choice Requires="a14">
          <xdr:graphicFrame macro="">
            <xdr:nvGraphicFramePr>
              <xdr:cNvPr id="66" name="Sklep 3">
                <a:extLst>
                  <a:ext uri="{FF2B5EF4-FFF2-40B4-BE49-F238E27FC236}">
                    <a16:creationId xmlns:a16="http://schemas.microsoft.com/office/drawing/2014/main" id="{072670E9-6723-4EB9-A082-7BBDF189EAF3}"/>
                  </a:ext>
                </a:extLst>
              </xdr:cNvPr>
              <xdr:cNvGraphicFramePr/>
            </xdr:nvGraphicFramePr>
            <xdr:xfrm>
              <a:off x="304202" y="2034116"/>
              <a:ext cx="1735603" cy="954618"/>
            </xdr:xfrm>
            <a:graphic>
              <a:graphicData uri="http://schemas.microsoft.com/office/drawing/2010/slicer">
                <sle:slicer xmlns:sle="http://schemas.microsoft.com/office/drawing/2010/slicer" name="Sklep 3"/>
              </a:graphicData>
            </a:graphic>
          </xdr:graphicFrame>
        </mc:Choice>
        <mc:Fallback xmlns="">
          <xdr:sp macro="" textlink="">
            <xdr:nvSpPr>
              <xdr:cNvPr id="0" name=""/>
              <xdr:cNvSpPr>
                <a:spLocks noTextEdit="1"/>
              </xdr:cNvSpPr>
            </xdr:nvSpPr>
            <xdr:spPr>
              <a:xfrm>
                <a:off x="242694" y="2076449"/>
                <a:ext cx="1728397" cy="954618"/>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127000</xdr:colOff>
      <xdr:row>13</xdr:row>
      <xdr:rowOff>132292</xdr:rowOff>
    </xdr:from>
    <xdr:to>
      <xdr:col>2</xdr:col>
      <xdr:colOff>624417</xdr:colOff>
      <xdr:row>18</xdr:row>
      <xdr:rowOff>94192</xdr:rowOff>
    </xdr:to>
    <xdr:grpSp>
      <xdr:nvGrpSpPr>
        <xdr:cNvPr id="29" name="Group 28">
          <a:extLst>
            <a:ext uri="{FF2B5EF4-FFF2-40B4-BE49-F238E27FC236}">
              <a16:creationId xmlns:a16="http://schemas.microsoft.com/office/drawing/2014/main" id="{B70095B8-45B7-A07E-4E35-B1FDD51C8FF8}"/>
            </a:ext>
          </a:extLst>
        </xdr:cNvPr>
        <xdr:cNvGrpSpPr/>
      </xdr:nvGrpSpPr>
      <xdr:grpSpPr>
        <a:xfrm>
          <a:off x="127000" y="3291093"/>
          <a:ext cx="1935886" cy="1176823"/>
          <a:chOff x="152836" y="3307292"/>
          <a:chExt cx="1924672" cy="1178983"/>
        </a:xfrm>
      </xdr:grpSpPr>
      <xdr:sp macro="" textlink="#REF!">
        <xdr:nvSpPr>
          <xdr:cNvPr id="20" name="Rectangle: Rounded Corners 19">
            <a:extLst>
              <a:ext uri="{FF2B5EF4-FFF2-40B4-BE49-F238E27FC236}">
                <a16:creationId xmlns:a16="http://schemas.microsoft.com/office/drawing/2014/main" id="{D6E78322-9C29-4A34-9878-69F801BCAA04}"/>
              </a:ext>
            </a:extLst>
          </xdr:cNvPr>
          <xdr:cNvSpPr/>
        </xdr:nvSpPr>
        <xdr:spPr>
          <a:xfrm>
            <a:off x="152836" y="3307292"/>
            <a:ext cx="1924672" cy="1178983"/>
          </a:xfrm>
          <a:prstGeom prst="roundRect">
            <a:avLst/>
          </a:prstGeom>
          <a:solidFill>
            <a:srgbClr val="BEBA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pl-PL" sz="1100" b="0" i="0" u="none" strike="noStrike">
              <a:solidFill>
                <a:srgbClr val="000000"/>
              </a:solidFill>
              <a:latin typeface="Aptos Narrow"/>
            </a:endParaRPr>
          </a:p>
        </xdr:txBody>
      </xdr:sp>
      <mc:AlternateContent xmlns:mc="http://schemas.openxmlformats.org/markup-compatibility/2006" xmlns:a14="http://schemas.microsoft.com/office/drawing/2010/main">
        <mc:Choice Requires="a14">
          <xdr:graphicFrame macro="">
            <xdr:nvGraphicFramePr>
              <xdr:cNvPr id="67" name="Marka 3">
                <a:extLst>
                  <a:ext uri="{FF2B5EF4-FFF2-40B4-BE49-F238E27FC236}">
                    <a16:creationId xmlns:a16="http://schemas.microsoft.com/office/drawing/2014/main" id="{7BABFE1B-C776-4C8F-9C1E-4ACB543A912F}"/>
                  </a:ext>
                </a:extLst>
              </xdr:cNvPr>
              <xdr:cNvGraphicFramePr/>
            </xdr:nvGraphicFramePr>
            <xdr:xfrm>
              <a:off x="216536" y="3384550"/>
              <a:ext cx="1820767" cy="1022349"/>
            </xdr:xfrm>
            <a:graphic>
              <a:graphicData uri="http://schemas.microsoft.com/office/drawing/2010/slicer">
                <sle:slicer xmlns:sle="http://schemas.microsoft.com/office/drawing/2010/slicer" name="Marka 3"/>
              </a:graphicData>
            </a:graphic>
          </xdr:graphicFrame>
        </mc:Choice>
        <mc:Fallback xmlns="">
          <xdr:sp macro="" textlink="">
            <xdr:nvSpPr>
              <xdr:cNvPr id="0" name=""/>
              <xdr:cNvSpPr>
                <a:spLocks noTextEdit="1"/>
              </xdr:cNvSpPr>
            </xdr:nvSpPr>
            <xdr:spPr>
              <a:xfrm>
                <a:off x="191100" y="3373967"/>
                <a:ext cx="1832193" cy="1022349"/>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112183</xdr:colOff>
      <xdr:row>19</xdr:row>
      <xdr:rowOff>95251</xdr:rowOff>
    </xdr:from>
    <xdr:to>
      <xdr:col>2</xdr:col>
      <xdr:colOff>617008</xdr:colOff>
      <xdr:row>26</xdr:row>
      <xdr:rowOff>170393</xdr:rowOff>
    </xdr:to>
    <xdr:grpSp>
      <xdr:nvGrpSpPr>
        <xdr:cNvPr id="27" name="Group 26">
          <a:extLst>
            <a:ext uri="{FF2B5EF4-FFF2-40B4-BE49-F238E27FC236}">
              <a16:creationId xmlns:a16="http://schemas.microsoft.com/office/drawing/2014/main" id="{5C465B96-8CB7-5C3C-4C39-CEE9F2B70302}"/>
            </a:ext>
          </a:extLst>
        </xdr:cNvPr>
        <xdr:cNvGrpSpPr/>
      </xdr:nvGrpSpPr>
      <xdr:grpSpPr>
        <a:xfrm>
          <a:off x="112183" y="4711960"/>
          <a:ext cx="1943294" cy="1776035"/>
          <a:chOff x="133349" y="4635501"/>
          <a:chExt cx="1944158" cy="1779058"/>
        </a:xfrm>
      </xdr:grpSpPr>
      <xdr:sp macro="" textlink="#REF!">
        <xdr:nvSpPr>
          <xdr:cNvPr id="21" name="Rectangle: Rounded Corners 20">
            <a:extLst>
              <a:ext uri="{FF2B5EF4-FFF2-40B4-BE49-F238E27FC236}">
                <a16:creationId xmlns:a16="http://schemas.microsoft.com/office/drawing/2014/main" id="{41E16176-5FB1-4DE7-8683-81F85A7A5421}"/>
              </a:ext>
            </a:extLst>
          </xdr:cNvPr>
          <xdr:cNvSpPr/>
        </xdr:nvSpPr>
        <xdr:spPr>
          <a:xfrm>
            <a:off x="133349" y="4635501"/>
            <a:ext cx="1944158" cy="1779058"/>
          </a:xfrm>
          <a:prstGeom prst="roundRect">
            <a:avLst/>
          </a:prstGeom>
          <a:solidFill>
            <a:srgbClr val="BEBA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pl-PL" sz="1100" b="0" i="0" u="none" strike="noStrike">
              <a:solidFill>
                <a:srgbClr val="000000"/>
              </a:solidFill>
              <a:latin typeface="Aptos Narrow"/>
            </a:endParaRPr>
          </a:p>
        </xdr:txBody>
      </xdr:sp>
      <mc:AlternateContent xmlns:mc="http://schemas.openxmlformats.org/markup-compatibility/2006" xmlns:a14="http://schemas.microsoft.com/office/drawing/2010/main">
        <mc:Choice Requires="a14">
          <xdr:graphicFrame macro="">
            <xdr:nvGraphicFramePr>
              <xdr:cNvPr id="68" name="Numer Miesiąca 1">
                <a:extLst>
                  <a:ext uri="{FF2B5EF4-FFF2-40B4-BE49-F238E27FC236}">
                    <a16:creationId xmlns:a16="http://schemas.microsoft.com/office/drawing/2014/main" id="{B52A3D5E-B2C5-4863-9D6A-84F9FF3D4D0D}"/>
                  </a:ext>
                </a:extLst>
              </xdr:cNvPr>
              <xdr:cNvGraphicFramePr/>
            </xdr:nvGraphicFramePr>
            <xdr:xfrm>
              <a:off x="209117" y="4769287"/>
              <a:ext cx="1799600" cy="1524621"/>
            </xdr:xfrm>
            <a:graphic>
              <a:graphicData uri="http://schemas.microsoft.com/office/drawing/2010/slicer">
                <sle:slicer xmlns:sle="http://schemas.microsoft.com/office/drawing/2010/slicer" name="Numer Miesiąca 1"/>
              </a:graphicData>
            </a:graphic>
          </xdr:graphicFrame>
        </mc:Choice>
        <mc:Fallback xmlns="">
          <xdr:sp macro="" textlink="">
            <xdr:nvSpPr>
              <xdr:cNvPr id="0" name=""/>
              <xdr:cNvSpPr>
                <a:spLocks noTextEdit="1"/>
              </xdr:cNvSpPr>
            </xdr:nvSpPr>
            <xdr:spPr>
              <a:xfrm>
                <a:off x="187951" y="4853954"/>
                <a:ext cx="1799600" cy="1524621"/>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11</xdr:col>
      <xdr:colOff>285751</xdr:colOff>
      <xdr:row>7</xdr:row>
      <xdr:rowOff>152400</xdr:rowOff>
    </xdr:from>
    <xdr:to>
      <xdr:col>16</xdr:col>
      <xdr:colOff>570442</xdr:colOff>
      <xdr:row>17</xdr:row>
      <xdr:rowOff>201083</xdr:rowOff>
    </xdr:to>
    <xdr:graphicFrame macro="">
      <xdr:nvGraphicFramePr>
        <xdr:cNvPr id="69" name="Chart 68">
          <a:extLst>
            <a:ext uri="{FF2B5EF4-FFF2-40B4-BE49-F238E27FC236}">
              <a16:creationId xmlns:a16="http://schemas.microsoft.com/office/drawing/2014/main" id="{22265F62-77C9-4CDA-BA3F-B230988582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152400</xdr:colOff>
      <xdr:row>2</xdr:row>
      <xdr:rowOff>195791</xdr:rowOff>
    </xdr:from>
    <xdr:to>
      <xdr:col>7</xdr:col>
      <xdr:colOff>371475</xdr:colOff>
      <xdr:row>7</xdr:row>
      <xdr:rowOff>9525</xdr:rowOff>
    </xdr:to>
    <xdr:grpSp>
      <xdr:nvGrpSpPr>
        <xdr:cNvPr id="11" name="Group 10">
          <a:extLst>
            <a:ext uri="{FF2B5EF4-FFF2-40B4-BE49-F238E27FC236}">
              <a16:creationId xmlns:a16="http://schemas.microsoft.com/office/drawing/2014/main" id="{0519AEF0-FB09-079A-B52F-FB2C4473CF5C}"/>
            </a:ext>
          </a:extLst>
        </xdr:cNvPr>
        <xdr:cNvGrpSpPr/>
      </xdr:nvGrpSpPr>
      <xdr:grpSpPr>
        <a:xfrm>
          <a:off x="2310104" y="681760"/>
          <a:ext cx="3096014" cy="1028658"/>
          <a:chOff x="2295525" y="691091"/>
          <a:chExt cx="3076575" cy="1051984"/>
        </a:xfrm>
      </xdr:grpSpPr>
      <xdr:sp macro="" textlink="">
        <xdr:nvSpPr>
          <xdr:cNvPr id="6" name="Rectangle: Rounded Corners 5">
            <a:extLst>
              <a:ext uri="{FF2B5EF4-FFF2-40B4-BE49-F238E27FC236}">
                <a16:creationId xmlns:a16="http://schemas.microsoft.com/office/drawing/2014/main" id="{F32B8194-94F9-E0C0-A420-37A2214A5824}"/>
              </a:ext>
            </a:extLst>
          </xdr:cNvPr>
          <xdr:cNvSpPr/>
        </xdr:nvSpPr>
        <xdr:spPr>
          <a:xfrm>
            <a:off x="2295525" y="691091"/>
            <a:ext cx="3076575" cy="1051984"/>
          </a:xfrm>
          <a:prstGeom prst="roundRect">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endParaRPr lang="en-US"/>
          </a:p>
        </xdr:txBody>
      </xdr:sp>
      <xdr:sp macro="" textlink="">
        <xdr:nvSpPr>
          <xdr:cNvPr id="9" name="Rectangle: Rounded Corners 8">
            <a:extLst>
              <a:ext uri="{FF2B5EF4-FFF2-40B4-BE49-F238E27FC236}">
                <a16:creationId xmlns:a16="http://schemas.microsoft.com/office/drawing/2014/main" id="{07354494-E425-4FD1-B123-AB093AD6A426}"/>
              </a:ext>
            </a:extLst>
          </xdr:cNvPr>
          <xdr:cNvSpPr/>
        </xdr:nvSpPr>
        <xdr:spPr>
          <a:xfrm>
            <a:off x="2305050" y="809625"/>
            <a:ext cx="3000375" cy="314325"/>
          </a:xfrm>
          <a:prstGeom prst="roundRect">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pl-PL" sz="1600" b="0" i="0" u="none" strike="noStrike">
                <a:solidFill>
                  <a:srgbClr val="000000"/>
                </a:solidFill>
                <a:latin typeface="Aptos Narrow"/>
              </a:rPr>
              <a:t>Wartość</a:t>
            </a:r>
            <a:r>
              <a:rPr lang="pl-PL" sz="1600" b="0" i="0" u="none" strike="noStrike" baseline="0">
                <a:solidFill>
                  <a:srgbClr val="000000"/>
                </a:solidFill>
                <a:latin typeface="Aptos Narrow"/>
              </a:rPr>
              <a:t> zagrożona</a:t>
            </a:r>
            <a:endParaRPr lang="pl-PL" sz="1600" b="0" i="0" u="none" strike="noStrike">
              <a:solidFill>
                <a:srgbClr val="000000"/>
              </a:solidFill>
              <a:latin typeface="Aptos Narrow"/>
            </a:endParaRPr>
          </a:p>
        </xdr:txBody>
      </xdr:sp>
      <xdr:sp macro="" textlink="'Tabele przestawne'!J5">
        <xdr:nvSpPr>
          <xdr:cNvPr id="10" name="Rectangle: Rounded Corners 9">
            <a:extLst>
              <a:ext uri="{FF2B5EF4-FFF2-40B4-BE49-F238E27FC236}">
                <a16:creationId xmlns:a16="http://schemas.microsoft.com/office/drawing/2014/main" id="{C6D4877D-FC39-4503-BF3D-3A1962543DF2}"/>
              </a:ext>
            </a:extLst>
          </xdr:cNvPr>
          <xdr:cNvSpPr/>
        </xdr:nvSpPr>
        <xdr:spPr>
          <a:xfrm>
            <a:off x="2295525" y="1200150"/>
            <a:ext cx="3067049" cy="342900"/>
          </a:xfrm>
          <a:prstGeom prst="roundRect">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lvl="0" algn="ctr"/>
            <a:fld id="{F705B5CD-C1B9-4FEC-951E-B450BA3BA2C5}" type="TxLink">
              <a:rPr lang="en-US" sz="1800" b="1" i="0" u="none" strike="noStrike">
                <a:solidFill>
                  <a:srgbClr val="000000"/>
                </a:solidFill>
                <a:latin typeface="Aptos Narrow"/>
              </a:rPr>
              <a:pPr lvl="0" algn="ctr"/>
              <a:t> 1,546 zł </a:t>
            </a:fld>
            <a:endParaRPr lang="pl-PL" sz="1800" b="1"/>
          </a:p>
        </xdr:txBody>
      </xdr:sp>
    </xdr:grpSp>
    <xdr:clientData/>
  </xdr:twoCellAnchor>
  <xdr:twoCellAnchor>
    <xdr:from>
      <xdr:col>7</xdr:col>
      <xdr:colOff>638175</xdr:colOff>
      <xdr:row>2</xdr:row>
      <xdr:rowOff>195791</xdr:rowOff>
    </xdr:from>
    <xdr:to>
      <xdr:col>12</xdr:col>
      <xdr:colOff>142875</xdr:colOff>
      <xdr:row>7</xdr:row>
      <xdr:rowOff>9525</xdr:rowOff>
    </xdr:to>
    <xdr:grpSp>
      <xdr:nvGrpSpPr>
        <xdr:cNvPr id="12" name="Group 11">
          <a:extLst>
            <a:ext uri="{FF2B5EF4-FFF2-40B4-BE49-F238E27FC236}">
              <a16:creationId xmlns:a16="http://schemas.microsoft.com/office/drawing/2014/main" id="{9A2A3D1A-83CB-438A-9E8C-B0F23394F4A6}"/>
            </a:ext>
          </a:extLst>
        </xdr:cNvPr>
        <xdr:cNvGrpSpPr/>
      </xdr:nvGrpSpPr>
      <xdr:grpSpPr>
        <a:xfrm>
          <a:off x="5672818" y="681760"/>
          <a:ext cx="3100873" cy="1028658"/>
          <a:chOff x="2295525" y="691091"/>
          <a:chExt cx="3076575" cy="1051984"/>
        </a:xfrm>
        <a:solidFill>
          <a:srgbClr val="76AE7F"/>
        </a:solidFill>
      </xdr:grpSpPr>
      <xdr:sp macro="" textlink="">
        <xdr:nvSpPr>
          <xdr:cNvPr id="13" name="Rectangle: Rounded Corners 12">
            <a:extLst>
              <a:ext uri="{FF2B5EF4-FFF2-40B4-BE49-F238E27FC236}">
                <a16:creationId xmlns:a16="http://schemas.microsoft.com/office/drawing/2014/main" id="{8308C4CC-F39B-F13B-7067-C33FE2176B3A}"/>
              </a:ext>
            </a:extLst>
          </xdr:cNvPr>
          <xdr:cNvSpPr/>
        </xdr:nvSpPr>
        <xdr:spPr>
          <a:xfrm>
            <a:off x="2295525" y="691091"/>
            <a:ext cx="3076575" cy="1051984"/>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endParaRPr lang="en-US"/>
          </a:p>
        </xdr:txBody>
      </xdr:sp>
      <xdr:sp macro="" textlink="">
        <xdr:nvSpPr>
          <xdr:cNvPr id="14" name="Rectangle: Rounded Corners 13">
            <a:extLst>
              <a:ext uri="{FF2B5EF4-FFF2-40B4-BE49-F238E27FC236}">
                <a16:creationId xmlns:a16="http://schemas.microsoft.com/office/drawing/2014/main" id="{EEADFBB7-1E3E-64CA-8B87-0F394BEBE36A}"/>
              </a:ext>
            </a:extLst>
          </xdr:cNvPr>
          <xdr:cNvSpPr/>
        </xdr:nvSpPr>
        <xdr:spPr>
          <a:xfrm>
            <a:off x="2305050" y="809625"/>
            <a:ext cx="3000375" cy="31432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pl-PL" sz="1600" b="0" i="0" u="none" strike="noStrike">
                <a:solidFill>
                  <a:srgbClr val="000000"/>
                </a:solidFill>
                <a:latin typeface="Aptos Narrow"/>
              </a:rPr>
              <a:t>Szacowana wartość</a:t>
            </a:r>
            <a:r>
              <a:rPr lang="pl-PL" sz="1600" b="0" i="0" u="none" strike="noStrike" baseline="0">
                <a:solidFill>
                  <a:srgbClr val="000000"/>
                </a:solidFill>
                <a:latin typeface="Aptos Narrow"/>
              </a:rPr>
              <a:t> odzysku</a:t>
            </a:r>
            <a:endParaRPr lang="pl-PL" sz="1600" b="0" i="0" u="none" strike="noStrike">
              <a:solidFill>
                <a:srgbClr val="000000"/>
              </a:solidFill>
              <a:latin typeface="Aptos Narrow"/>
            </a:endParaRPr>
          </a:p>
        </xdr:txBody>
      </xdr:sp>
      <xdr:sp macro="" textlink="'Tabele przestawne'!J11">
        <xdr:nvSpPr>
          <xdr:cNvPr id="15" name="Rectangle: Rounded Corners 14">
            <a:extLst>
              <a:ext uri="{FF2B5EF4-FFF2-40B4-BE49-F238E27FC236}">
                <a16:creationId xmlns:a16="http://schemas.microsoft.com/office/drawing/2014/main" id="{458A433E-9177-0816-9848-6360FC45C797}"/>
              </a:ext>
            </a:extLst>
          </xdr:cNvPr>
          <xdr:cNvSpPr/>
        </xdr:nvSpPr>
        <xdr:spPr>
          <a:xfrm>
            <a:off x="2295525" y="1200150"/>
            <a:ext cx="3067049" cy="3429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lvl="0" algn="ctr"/>
            <a:fld id="{43CA01FC-456A-47F3-94BE-B42553A9C8E2}" type="TxLink">
              <a:rPr lang="en-US" sz="1800" b="1" i="0" u="none" strike="noStrike">
                <a:solidFill>
                  <a:srgbClr val="000000"/>
                </a:solidFill>
                <a:latin typeface="Aptos Narrow"/>
              </a:rPr>
              <a:pPr lvl="0" algn="ctr"/>
              <a:t> 1,281 zł </a:t>
            </a:fld>
            <a:endParaRPr lang="pl-PL" sz="1800" b="1"/>
          </a:p>
        </xdr:txBody>
      </xdr:sp>
    </xdr:grpSp>
    <xdr:clientData/>
  </xdr:twoCellAnchor>
  <xdr:twoCellAnchor>
    <xdr:from>
      <xdr:col>12</xdr:col>
      <xdr:colOff>352425</xdr:colOff>
      <xdr:row>2</xdr:row>
      <xdr:rowOff>167216</xdr:rowOff>
    </xdr:from>
    <xdr:to>
      <xdr:col>16</xdr:col>
      <xdr:colOff>571500</xdr:colOff>
      <xdr:row>6</xdr:row>
      <xdr:rowOff>228600</xdr:rowOff>
    </xdr:to>
    <xdr:grpSp>
      <xdr:nvGrpSpPr>
        <xdr:cNvPr id="16" name="Group 15">
          <a:extLst>
            <a:ext uri="{FF2B5EF4-FFF2-40B4-BE49-F238E27FC236}">
              <a16:creationId xmlns:a16="http://schemas.microsoft.com/office/drawing/2014/main" id="{676ACB97-8E20-44D1-832B-DC5A31BAE527}"/>
            </a:ext>
          </a:extLst>
        </xdr:cNvPr>
        <xdr:cNvGrpSpPr/>
      </xdr:nvGrpSpPr>
      <xdr:grpSpPr>
        <a:xfrm>
          <a:off x="8983241" y="653185"/>
          <a:ext cx="3096014" cy="1033323"/>
          <a:chOff x="2295525" y="691091"/>
          <a:chExt cx="3076575" cy="1051984"/>
        </a:xfrm>
        <a:solidFill>
          <a:srgbClr val="76AE7F"/>
        </a:solidFill>
      </xdr:grpSpPr>
      <xdr:sp macro="" textlink="">
        <xdr:nvSpPr>
          <xdr:cNvPr id="17" name="Rectangle: Rounded Corners 16">
            <a:extLst>
              <a:ext uri="{FF2B5EF4-FFF2-40B4-BE49-F238E27FC236}">
                <a16:creationId xmlns:a16="http://schemas.microsoft.com/office/drawing/2014/main" id="{5EE800F7-D96D-DCF8-AC06-B929A83990D0}"/>
              </a:ext>
            </a:extLst>
          </xdr:cNvPr>
          <xdr:cNvSpPr/>
        </xdr:nvSpPr>
        <xdr:spPr>
          <a:xfrm>
            <a:off x="2295525" y="691091"/>
            <a:ext cx="3076575" cy="1051984"/>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endParaRPr lang="en-US"/>
          </a:p>
        </xdr:txBody>
      </xdr:sp>
      <xdr:sp macro="" textlink="">
        <xdr:nvSpPr>
          <xdr:cNvPr id="18" name="Rectangle: Rounded Corners 17">
            <a:extLst>
              <a:ext uri="{FF2B5EF4-FFF2-40B4-BE49-F238E27FC236}">
                <a16:creationId xmlns:a16="http://schemas.microsoft.com/office/drawing/2014/main" id="{9CE70C2D-AEF7-3AF6-7376-820E0015DA86}"/>
              </a:ext>
            </a:extLst>
          </xdr:cNvPr>
          <xdr:cNvSpPr/>
        </xdr:nvSpPr>
        <xdr:spPr>
          <a:xfrm>
            <a:off x="2305050" y="809625"/>
            <a:ext cx="3000375" cy="31432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pl-PL" sz="1600" b="0" i="0" u="none" strike="noStrike">
                <a:solidFill>
                  <a:srgbClr val="000000"/>
                </a:solidFill>
                <a:latin typeface="Aptos Narrow"/>
              </a:rPr>
              <a:t>Szacowana skuteczność</a:t>
            </a:r>
            <a:r>
              <a:rPr lang="pl-PL" sz="1600" b="0" i="0" u="none" strike="noStrike" baseline="0">
                <a:solidFill>
                  <a:srgbClr val="000000"/>
                </a:solidFill>
                <a:latin typeface="Aptos Narrow"/>
              </a:rPr>
              <a:t> odzysku</a:t>
            </a:r>
            <a:endParaRPr lang="pl-PL" sz="1600" b="0" i="0" u="none" strike="noStrike">
              <a:solidFill>
                <a:srgbClr val="000000"/>
              </a:solidFill>
              <a:latin typeface="Aptos Narrow"/>
            </a:endParaRPr>
          </a:p>
        </xdr:txBody>
      </xdr:sp>
      <xdr:sp macro="" textlink="'Tabele przestawne'!J20">
        <xdr:nvSpPr>
          <xdr:cNvPr id="19" name="Rectangle: Rounded Corners 18">
            <a:extLst>
              <a:ext uri="{FF2B5EF4-FFF2-40B4-BE49-F238E27FC236}">
                <a16:creationId xmlns:a16="http://schemas.microsoft.com/office/drawing/2014/main" id="{84C9FE5F-F274-2539-D1EE-2429E61C19A4}"/>
              </a:ext>
            </a:extLst>
          </xdr:cNvPr>
          <xdr:cNvSpPr/>
        </xdr:nvSpPr>
        <xdr:spPr>
          <a:xfrm>
            <a:off x="2295525" y="1200150"/>
            <a:ext cx="3067049" cy="3429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lvl="0" algn="ctr"/>
            <a:fld id="{D792B27F-5279-4CF3-A86C-345A2B8E6CED}" type="TxLink">
              <a:rPr lang="en-US" sz="1800" b="1" i="0" u="none" strike="noStrike">
                <a:solidFill>
                  <a:srgbClr val="000000"/>
                </a:solidFill>
                <a:latin typeface="Aptos Narrow"/>
              </a:rPr>
              <a:pPr lvl="0" algn="ctr"/>
              <a:t>83%</a:t>
            </a:fld>
            <a:endParaRPr lang="pl-PL" sz="1800" b="1"/>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126999</xdr:colOff>
      <xdr:row>3</xdr:row>
      <xdr:rowOff>811</xdr:rowOff>
    </xdr:from>
    <xdr:to>
      <xdr:col>2</xdr:col>
      <xdr:colOff>616515</xdr:colOff>
      <xdr:row>4</xdr:row>
      <xdr:rowOff>180665</xdr:rowOff>
    </xdr:to>
    <xdr:sp macro="" textlink="#REF!">
      <xdr:nvSpPr>
        <xdr:cNvPr id="2" name="Rectangle: Rounded Corners 1">
          <a:hlinkClick xmlns:r="http://schemas.openxmlformats.org/officeDocument/2006/relationships" r:id="rId1"/>
          <a:extLst>
            <a:ext uri="{FF2B5EF4-FFF2-40B4-BE49-F238E27FC236}">
              <a16:creationId xmlns:a16="http://schemas.microsoft.com/office/drawing/2014/main" id="{AE46A85D-90F0-4BF0-BB84-74CCFE7C757D}"/>
            </a:ext>
          </a:extLst>
        </xdr:cNvPr>
        <xdr:cNvSpPr/>
      </xdr:nvSpPr>
      <xdr:spPr>
        <a:xfrm>
          <a:off x="126999" y="743761"/>
          <a:ext cx="1918266" cy="427504"/>
        </a:xfrm>
        <a:prstGeom prst="roundRect">
          <a:avLst/>
        </a:prstGeom>
        <a:solidFill>
          <a:srgbClr val="BEBA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l-PL" sz="1100" b="0" i="0" u="none" strike="noStrike">
              <a:solidFill>
                <a:srgbClr val="000000"/>
              </a:solidFill>
              <a:latin typeface="Aptos Narrow"/>
              <a:ea typeface="+mn-ea"/>
              <a:cs typeface="+mn-cs"/>
            </a:rPr>
            <a:t>Efektywność</a:t>
          </a:r>
        </a:p>
      </xdr:txBody>
    </xdr:sp>
    <xdr:clientData/>
  </xdr:twoCellAnchor>
  <xdr:twoCellAnchor>
    <xdr:from>
      <xdr:col>0</xdr:col>
      <xdr:colOff>121335</xdr:colOff>
      <xdr:row>5</xdr:row>
      <xdr:rowOff>68295</xdr:rowOff>
    </xdr:from>
    <xdr:to>
      <xdr:col>2</xdr:col>
      <xdr:colOff>618315</xdr:colOff>
      <xdr:row>7</xdr:row>
      <xdr:rowOff>4732</xdr:rowOff>
    </xdr:to>
    <xdr:sp macro="" textlink="#REF!">
      <xdr:nvSpPr>
        <xdr:cNvPr id="3" name="Rectangle: Rounded Corners 2">
          <a:hlinkClick xmlns:r="http://schemas.openxmlformats.org/officeDocument/2006/relationships" r:id="rId2"/>
          <a:extLst>
            <a:ext uri="{FF2B5EF4-FFF2-40B4-BE49-F238E27FC236}">
              <a16:creationId xmlns:a16="http://schemas.microsoft.com/office/drawing/2014/main" id="{58FF89FE-F608-4A7D-99D3-AE104C2F0C6A}"/>
            </a:ext>
          </a:extLst>
        </xdr:cNvPr>
        <xdr:cNvSpPr/>
      </xdr:nvSpPr>
      <xdr:spPr>
        <a:xfrm>
          <a:off x="121335" y="1306545"/>
          <a:ext cx="1925730" cy="431737"/>
        </a:xfrm>
        <a:prstGeom prst="roundRect">
          <a:avLst/>
        </a:prstGeom>
        <a:solidFill>
          <a:srgbClr val="D1D3F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l-PL" sz="1100" b="0" i="0" u="none" strike="noStrike">
              <a:solidFill>
                <a:srgbClr val="000000"/>
              </a:solidFill>
              <a:latin typeface="Aptos Narrow"/>
              <a:ea typeface="+mn-ea"/>
              <a:cs typeface="+mn-cs"/>
            </a:rPr>
            <a:t>Straty</a:t>
          </a:r>
        </a:p>
      </xdr:txBody>
    </xdr:sp>
    <xdr:clientData/>
  </xdr:twoCellAnchor>
  <xdr:twoCellAnchor>
    <xdr:from>
      <xdr:col>0</xdr:col>
      <xdr:colOff>125320</xdr:colOff>
      <xdr:row>0</xdr:row>
      <xdr:rowOff>165164</xdr:rowOff>
    </xdr:from>
    <xdr:to>
      <xdr:col>2</xdr:col>
      <xdr:colOff>622300</xdr:colOff>
      <xdr:row>2</xdr:row>
      <xdr:rowOff>94256</xdr:rowOff>
    </xdr:to>
    <xdr:sp macro="" textlink="#REF!">
      <xdr:nvSpPr>
        <xdr:cNvPr id="5" name="Rectangle: Rounded Corners 4">
          <a:hlinkClick xmlns:r="http://schemas.openxmlformats.org/officeDocument/2006/relationships" r:id="rId3"/>
          <a:extLst>
            <a:ext uri="{FF2B5EF4-FFF2-40B4-BE49-F238E27FC236}">
              <a16:creationId xmlns:a16="http://schemas.microsoft.com/office/drawing/2014/main" id="{CF02B5EE-7CA6-4A67-B093-20A5751C203D}"/>
            </a:ext>
          </a:extLst>
        </xdr:cNvPr>
        <xdr:cNvSpPr/>
      </xdr:nvSpPr>
      <xdr:spPr>
        <a:xfrm>
          <a:off x="125320" y="165164"/>
          <a:ext cx="1925730" cy="424392"/>
        </a:xfrm>
        <a:prstGeom prst="roundRect">
          <a:avLst/>
        </a:prstGeom>
        <a:solidFill>
          <a:srgbClr val="D1D3F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l-PL" sz="1100" b="0" i="0" u="none" strike="noStrike">
              <a:solidFill>
                <a:srgbClr val="000000"/>
              </a:solidFill>
              <a:latin typeface="Aptos Narrow"/>
            </a:rPr>
            <a:t>Przegląd</a:t>
          </a:r>
        </a:p>
      </xdr:txBody>
    </xdr:sp>
    <xdr:clientData/>
  </xdr:twoCellAnchor>
  <xdr:twoCellAnchor>
    <xdr:from>
      <xdr:col>25</xdr:col>
      <xdr:colOff>810380</xdr:colOff>
      <xdr:row>24</xdr:row>
      <xdr:rowOff>206374</xdr:rowOff>
    </xdr:from>
    <xdr:to>
      <xdr:col>33</xdr:col>
      <xdr:colOff>387804</xdr:colOff>
      <xdr:row>42</xdr:row>
      <xdr:rowOff>6804</xdr:rowOff>
    </xdr:to>
    <xdr:sp macro="" textlink="">
      <xdr:nvSpPr>
        <xdr:cNvPr id="6" name="Rectangle: Rounded Corners 5">
          <a:extLst>
            <a:ext uri="{FF2B5EF4-FFF2-40B4-BE49-F238E27FC236}">
              <a16:creationId xmlns:a16="http://schemas.microsoft.com/office/drawing/2014/main" id="{67553A59-CFC6-47BF-92CC-69F7E11D4080}"/>
            </a:ext>
          </a:extLst>
        </xdr:cNvPr>
        <xdr:cNvSpPr/>
      </xdr:nvSpPr>
      <xdr:spPr>
        <a:xfrm>
          <a:off x="19736555" y="6149974"/>
          <a:ext cx="4692349" cy="3381830"/>
        </a:xfrm>
        <a:prstGeom prst="roundRect">
          <a:avLst/>
        </a:prstGeom>
        <a:solidFill>
          <a:schemeClr val="bg1">
            <a:alpha val="50196"/>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pl-PL" sz="1200">
              <a:solidFill>
                <a:schemeClr val="tx1"/>
              </a:solidFill>
            </a:rPr>
            <a:t>...</a:t>
          </a:r>
          <a:r>
            <a:rPr lang="pl-PL" sz="1200" baseline="0">
              <a:solidFill>
                <a:schemeClr val="tx1"/>
              </a:solidFill>
            </a:rPr>
            <a:t> </a:t>
          </a:r>
          <a:endParaRPr lang="pl-PL" sz="1200">
            <a:solidFill>
              <a:schemeClr val="tx1"/>
            </a:solidFill>
          </a:endParaRPr>
        </a:p>
      </xdr:txBody>
    </xdr:sp>
    <xdr:clientData/>
  </xdr:twoCellAnchor>
  <xdr:twoCellAnchor>
    <xdr:from>
      <xdr:col>3</xdr:col>
      <xdr:colOff>84665</xdr:colOff>
      <xdr:row>7</xdr:row>
      <xdr:rowOff>133350</xdr:rowOff>
    </xdr:from>
    <xdr:to>
      <xdr:col>9</xdr:col>
      <xdr:colOff>275166</xdr:colOff>
      <xdr:row>14</xdr:row>
      <xdr:rowOff>52917</xdr:rowOff>
    </xdr:to>
    <xdr:grpSp>
      <xdr:nvGrpSpPr>
        <xdr:cNvPr id="7" name="Group 6">
          <a:extLst>
            <a:ext uri="{FF2B5EF4-FFF2-40B4-BE49-F238E27FC236}">
              <a16:creationId xmlns:a16="http://schemas.microsoft.com/office/drawing/2014/main" id="{8FC97971-3BA9-4A0B-B424-269314503C92}"/>
            </a:ext>
          </a:extLst>
        </xdr:cNvPr>
        <xdr:cNvGrpSpPr/>
      </xdr:nvGrpSpPr>
      <xdr:grpSpPr>
        <a:xfrm>
          <a:off x="2242369" y="1834243"/>
          <a:ext cx="4505909" cy="1620460"/>
          <a:chOff x="2259541" y="1898650"/>
          <a:chExt cx="5903489" cy="690515"/>
        </a:xfrm>
      </xdr:grpSpPr>
      <xdr:sp macro="" textlink="">
        <xdr:nvSpPr>
          <xdr:cNvPr id="8" name="Rectangle: Rounded Corners 7">
            <a:extLst>
              <a:ext uri="{FF2B5EF4-FFF2-40B4-BE49-F238E27FC236}">
                <a16:creationId xmlns:a16="http://schemas.microsoft.com/office/drawing/2014/main" id="{17AC6FDB-1222-AF8C-DF85-2B466331D106}"/>
              </a:ext>
            </a:extLst>
          </xdr:cNvPr>
          <xdr:cNvSpPr/>
        </xdr:nvSpPr>
        <xdr:spPr>
          <a:xfrm>
            <a:off x="2259541" y="1898650"/>
            <a:ext cx="5903489" cy="690515"/>
          </a:xfrm>
          <a:prstGeom prst="roundRect">
            <a:avLst/>
          </a:prstGeom>
          <a:solidFill>
            <a:srgbClr val="D1D3F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626BFA33-5BCA-6E1E-9CE0-A5A41D39ECF2}"/>
                  </a:ext>
                </a:extLst>
              </xdr:cNvPr>
              <xdr:cNvSpPr txBox="1"/>
            </xdr:nvSpPr>
            <xdr:spPr>
              <a:xfrm>
                <a:off x="2442892" y="1968396"/>
                <a:ext cx="5636992" cy="566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lvl="0" indent="-171450">
                  <a:buFont typeface="Wingdings" panose="05000000000000000000" pitchFamily="2" charset="2"/>
                  <a:buChar char="§"/>
                </a:pPr>
                <a:r>
                  <a:rPr lang="pl-PL" sz="1100" b="1">
                    <a:solidFill>
                      <a:schemeClr val="dk1"/>
                    </a:solidFill>
                    <a:effectLst/>
                    <a:latin typeface="+mn-lt"/>
                    <a:ea typeface="+mn-ea"/>
                    <a:cs typeface="+mn-cs"/>
                  </a:rPr>
                  <a:t>Wysoki zwrot z</a:t>
                </a:r>
                <a:r>
                  <a:rPr lang="pl-PL" sz="1100" b="1" baseline="0">
                    <a:solidFill>
                      <a:schemeClr val="dk1"/>
                    </a:solidFill>
                    <a:effectLst/>
                    <a:latin typeface="+mn-lt"/>
                    <a:ea typeface="+mn-ea"/>
                    <a:cs typeface="+mn-cs"/>
                  </a:rPr>
                  <a:t> przecen</a:t>
                </a:r>
                <a:r>
                  <a:rPr lang="pl-PL" sz="1100">
                    <a:solidFill>
                      <a:schemeClr val="dk1"/>
                    </a:solidFill>
                    <a:effectLst/>
                    <a:latin typeface="+mn-lt"/>
                    <a:ea typeface="+mn-ea"/>
                    <a:cs typeface="+mn-cs"/>
                  </a:rPr>
                  <a:t> - każda </a:t>
                </a:r>
                <a:r>
                  <a:rPr lang="pl-PL" sz="1100" b="1">
                    <a:solidFill>
                      <a:schemeClr val="dk1"/>
                    </a:solidFill>
                    <a:effectLst/>
                    <a:latin typeface="+mn-lt"/>
                    <a:ea typeface="+mn-ea"/>
                    <a:cs typeface="+mn-cs"/>
                  </a:rPr>
                  <a:t>1 zł</a:t>
                </a:r>
                <a:r>
                  <a:rPr lang="pl-PL" sz="1100" baseline="0">
                    <a:solidFill>
                      <a:schemeClr val="dk1"/>
                    </a:solidFill>
                    <a:effectLst/>
                    <a:latin typeface="+mn-lt"/>
                    <a:ea typeface="+mn-ea"/>
                    <a:cs typeface="+mn-cs"/>
                  </a:rPr>
                  <a:t> </a:t>
                </a:r>
                <a:r>
                  <a:rPr lang="pl-PL" sz="1100">
                    <a:solidFill>
                      <a:schemeClr val="dk1"/>
                    </a:solidFill>
                    <a:effectLst/>
                    <a:latin typeface="+mn-lt"/>
                    <a:ea typeface="+mn-ea"/>
                    <a:cs typeface="+mn-cs"/>
                  </a:rPr>
                  <a:t>rabatu przyniosła </a:t>
                </a:r>
                <a:r>
                  <a:rPr lang="pl-PL" sz="1100" b="1">
                    <a:solidFill>
                      <a:schemeClr val="dk1"/>
                    </a:solidFill>
                    <a:effectLst/>
                    <a:latin typeface="+mn-lt"/>
                    <a:ea typeface="+mn-ea"/>
                    <a:cs typeface="+mn-cs"/>
                  </a:rPr>
                  <a:t>2,58</a:t>
                </a:r>
                <a:r>
                  <a:rPr lang="pl-PL" sz="1100" b="1" baseline="0">
                    <a:solidFill>
                      <a:schemeClr val="dk1"/>
                    </a:solidFill>
                    <a:effectLst/>
                    <a:latin typeface="+mn-lt"/>
                    <a:ea typeface="+mn-ea"/>
                    <a:cs typeface="+mn-cs"/>
                  </a:rPr>
                  <a:t> zł </a:t>
                </a:r>
                <a:r>
                  <a:rPr lang="pl-PL" sz="1100">
                    <a:solidFill>
                      <a:schemeClr val="dk1"/>
                    </a:solidFill>
                    <a:effectLst/>
                    <a:latin typeface="+mn-lt"/>
                    <a:ea typeface="+mn-ea"/>
                    <a:cs typeface="+mn-cs"/>
                  </a:rPr>
                  <a:t>odzyskanego przychodu z towaru zagrożonego.</a:t>
                </a:r>
              </a:p>
              <a:p>
                <a:pPr marL="171450" lvl="0" indent="-171450">
                  <a:buFont typeface="Wingdings" panose="05000000000000000000" pitchFamily="2" charset="2"/>
                  <a:buChar char="§"/>
                </a:pPr>
                <a:r>
                  <a:rPr lang="pl-PL" sz="1100" b="1">
                    <a:solidFill>
                      <a:schemeClr val="dk1"/>
                    </a:solidFill>
                    <a:effectLst/>
                    <a:latin typeface="+mn-lt"/>
                    <a:ea typeface="+mn-ea"/>
                    <a:cs typeface="+mn-cs"/>
                  </a:rPr>
                  <a:t>Produkty sypkie</a:t>
                </a:r>
                <a:r>
                  <a:rPr lang="pl-PL" sz="1100" b="1" baseline="0">
                    <a:solidFill>
                      <a:schemeClr val="dk1"/>
                    </a:solidFill>
                    <a:effectLst/>
                    <a:latin typeface="+mn-lt"/>
                    <a:ea typeface="+mn-ea"/>
                    <a:cs typeface="+mn-cs"/>
                  </a:rPr>
                  <a:t> </a:t>
                </a:r>
                <a:r>
                  <a:rPr lang="pl-PL" sz="1100" b="1">
                    <a:solidFill>
                      <a:schemeClr val="dk1"/>
                    </a:solidFill>
                    <a:effectLst/>
                    <a:latin typeface="+mn-lt"/>
                    <a:ea typeface="+mn-ea"/>
                    <a:cs typeface="+mn-cs"/>
                  </a:rPr>
                  <a:t>liderami efektywności </a:t>
                </a:r>
                <a:r>
                  <a:rPr lang="pl-PL" sz="1100">
                    <a:solidFill>
                      <a:schemeClr val="dk1"/>
                    </a:solidFill>
                    <a:effectLst/>
                    <a:latin typeface="+mn-lt"/>
                    <a:ea typeface="+mn-ea"/>
                    <a:cs typeface="+mn-cs"/>
                  </a:rPr>
                  <a:t> - sosy, zupy oraz</a:t>
                </a:r>
                <a:r>
                  <a:rPr lang="pl-PL" sz="1100" baseline="0">
                    <a:solidFill>
                      <a:schemeClr val="dk1"/>
                    </a:solidFill>
                    <a:effectLst/>
                    <a:latin typeface="+mn-lt"/>
                    <a:ea typeface="+mn-ea"/>
                    <a:cs typeface="+mn-cs"/>
                  </a:rPr>
                  <a:t> </a:t>
                </a:r>
                <a:r>
                  <a:rPr lang="pl-PL" sz="1100">
                    <a:solidFill>
                      <a:schemeClr val="dk1"/>
                    </a:solidFill>
                    <a:effectLst/>
                    <a:latin typeface="+mn-lt"/>
                    <a:ea typeface="+mn-ea"/>
                    <a:cs typeface="+mn-cs"/>
                  </a:rPr>
                  <a:t>dania instant generują najwyższy zwrot z przecen.</a:t>
                </a:r>
              </a:p>
              <a:p>
                <a:pPr marL="171450" lvl="0" indent="-171450">
                  <a:buFont typeface="Wingdings" panose="05000000000000000000" pitchFamily="2" charset="2"/>
                  <a:buChar char="§"/>
                </a:pPr>
                <a:r>
                  <a:rPr lang="pl-PL" sz="1100" b="1">
                    <a:solidFill>
                      <a:schemeClr val="dk1"/>
                    </a:solidFill>
                    <a:effectLst/>
                    <a:latin typeface="+mn-lt"/>
                    <a:ea typeface="+mn-ea"/>
                    <a:cs typeface="+mn-cs"/>
                  </a:rPr>
                  <a:t>Optymalny próg rentowności</a:t>
                </a:r>
                <a:r>
                  <a:rPr lang="pl-PL" sz="1100">
                    <a:solidFill>
                      <a:schemeClr val="dk1"/>
                    </a:solidFill>
                    <a:effectLst/>
                    <a:latin typeface="+mn-lt"/>
                    <a:ea typeface="+mn-ea"/>
                    <a:cs typeface="+mn-cs"/>
                  </a:rPr>
                  <a:t> </a:t>
                </a:r>
                <a:r>
                  <a:rPr lang="pl-PL" sz="1100" b="0">
                    <a:solidFill>
                      <a:schemeClr val="dk1"/>
                    </a:solidFill>
                    <a:effectLst/>
                    <a:latin typeface="+mn-lt"/>
                    <a:ea typeface="+mn-ea"/>
                    <a:cs typeface="+mn-cs"/>
                  </a:rPr>
                  <a:t>-</a:t>
                </a:r>
                <a:r>
                  <a:rPr lang="pl-PL" sz="1100">
                    <a:solidFill>
                      <a:schemeClr val="dk1"/>
                    </a:solidFill>
                    <a:effectLst/>
                    <a:latin typeface="+mn-lt"/>
                    <a:ea typeface="+mn-ea"/>
                    <a:cs typeface="+mn-cs"/>
                  </a:rPr>
                  <a:t> rabat </a:t>
                </a:r>
                <a:r>
                  <a:rPr lang="pl-PL" sz="1100" b="1">
                    <a:solidFill>
                      <a:schemeClr val="dk1"/>
                    </a:solidFill>
                    <a:effectLst/>
                    <a:latin typeface="+mn-lt"/>
                    <a:ea typeface="+mn-ea"/>
                    <a:cs typeface="+mn-cs"/>
                  </a:rPr>
                  <a:t>20%</a:t>
                </a:r>
                <a:r>
                  <a:rPr lang="pl-PL" sz="1100">
                    <a:solidFill>
                      <a:schemeClr val="dk1"/>
                    </a:solidFill>
                    <a:effectLst/>
                    <a:latin typeface="+mn-lt"/>
                    <a:ea typeface="+mn-ea"/>
                    <a:cs typeface="+mn-cs"/>
                  </a:rPr>
                  <a:t> </a:t>
                </a:r>
                <a14:m>
                  <m:oMath xmlns:m="http://schemas.openxmlformats.org/officeDocument/2006/math">
                    <m:r>
                      <a:rPr lang="pl-PL" sz="1100" b="0" i="0">
                        <a:solidFill>
                          <a:schemeClr val="dk1"/>
                        </a:solidFill>
                        <a:latin typeface="Cambria Math" panose="02040503050406030204" pitchFamily="18" charset="0"/>
                        <a:ea typeface="+mn-ea"/>
                        <a:cs typeface="+mn-cs"/>
                      </a:rPr>
                      <m:t> </m:t>
                    </m:r>
                  </m:oMath>
                </a14:m>
                <a:r>
                  <a:rPr lang="pl-PL" sz="1100">
                    <a:solidFill>
                      <a:schemeClr val="dk1"/>
                    </a:solidFill>
                    <a:effectLst/>
                    <a:latin typeface="+mn-lt"/>
                    <a:ea typeface="+mn-ea"/>
                    <a:cs typeface="+mn-cs"/>
                  </a:rPr>
                  <a:t>wygenerował</a:t>
                </a:r>
                <a:r>
                  <a:rPr lang="pl-PL" sz="1100" baseline="0">
                    <a:solidFill>
                      <a:schemeClr val="dk1"/>
                    </a:solidFill>
                    <a:effectLst/>
                    <a:latin typeface="+mn-lt"/>
                    <a:ea typeface="+mn-ea"/>
                    <a:cs typeface="+mn-cs"/>
                  </a:rPr>
                  <a:t> </a:t>
                </a:r>
                <a:r>
                  <a:rPr lang="pl-PL" sz="1100" b="1" baseline="0">
                    <a:solidFill>
                      <a:schemeClr val="dk1"/>
                    </a:solidFill>
                    <a:effectLst/>
                    <a:latin typeface="+mn-lt"/>
                    <a:ea typeface="+mn-ea"/>
                    <a:cs typeface="+mn-cs"/>
                  </a:rPr>
                  <a:t>320 zł</a:t>
                </a:r>
                <a:r>
                  <a:rPr lang="pl-PL" sz="1100" baseline="0">
                    <a:solidFill>
                      <a:schemeClr val="dk1"/>
                    </a:solidFill>
                    <a:effectLst/>
                    <a:latin typeface="+mn-lt"/>
                    <a:ea typeface="+mn-ea"/>
                    <a:cs typeface="+mn-cs"/>
                  </a:rPr>
                  <a:t> </a:t>
                </a:r>
                <a:r>
                  <a:rPr lang="pl-PL" sz="1100">
                    <a:solidFill>
                      <a:schemeClr val="dk1"/>
                    </a:solidFill>
                    <a:effectLst/>
                    <a:latin typeface="+mn-lt"/>
                    <a:ea typeface="+mn-ea"/>
                    <a:cs typeface="+mn-cs"/>
                  </a:rPr>
                  <a:t>odzysku przy koszcie zaledwie </a:t>
                </a:r>
                <a:r>
                  <a:rPr lang="pl-PL" sz="1100" b="1">
                    <a:solidFill>
                      <a:schemeClr val="dk1"/>
                    </a:solidFill>
                    <a:effectLst/>
                    <a:latin typeface="+mn-lt"/>
                    <a:ea typeface="+mn-ea"/>
                    <a:cs typeface="+mn-cs"/>
                  </a:rPr>
                  <a:t>80 zł</a:t>
                </a:r>
                <a:r>
                  <a:rPr lang="pl-PL" sz="1100">
                    <a:solidFill>
                      <a:schemeClr val="dk1"/>
                    </a:solidFill>
                    <a:effectLst/>
                    <a:latin typeface="+mn-lt"/>
                    <a:ea typeface="+mn-ea"/>
                    <a:cs typeface="+mn-cs"/>
                  </a:rPr>
                  <a:t>, osiągając 2-krotnie wyższą efektywność niż rabat </a:t>
                </a:r>
                <a:r>
                  <a:rPr lang="pl-PL" sz="1100" b="1">
                    <a:solidFill>
                      <a:schemeClr val="dk1"/>
                    </a:solidFill>
                    <a:effectLst/>
                    <a:latin typeface="+mn-lt"/>
                    <a:ea typeface="+mn-ea"/>
                    <a:cs typeface="+mn-cs"/>
                  </a:rPr>
                  <a:t>40%</a:t>
                </a:r>
                <a:r>
                  <a:rPr lang="pl-PL" sz="1100">
                    <a:solidFill>
                      <a:schemeClr val="dk1"/>
                    </a:solidFill>
                    <a:effectLst/>
                    <a:latin typeface="+mn-lt"/>
                    <a:ea typeface="+mn-ea"/>
                    <a:cs typeface="+mn-cs"/>
                  </a:rPr>
                  <a:t> .</a:t>
                </a:r>
              </a:p>
            </xdr:txBody>
          </xdr:sp>
        </mc:Choice>
        <mc:Fallback xmlns="">
          <xdr:sp macro="" textlink="">
            <xdr:nvSpPr>
              <xdr:cNvPr id="9" name="TextBox 8">
                <a:extLst>
                  <a:ext uri="{FF2B5EF4-FFF2-40B4-BE49-F238E27FC236}">
                    <a16:creationId xmlns:a16="http://schemas.microsoft.com/office/drawing/2014/main" id="{626BFA33-5BCA-6E1E-9CE0-A5A41D39ECF2}"/>
                  </a:ext>
                </a:extLst>
              </xdr:cNvPr>
              <xdr:cNvSpPr txBox="1"/>
            </xdr:nvSpPr>
            <xdr:spPr>
              <a:xfrm>
                <a:off x="2442892" y="1968396"/>
                <a:ext cx="5636992" cy="566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lvl="0" indent="-171450">
                  <a:buFont typeface="Wingdings" panose="05000000000000000000" pitchFamily="2" charset="2"/>
                  <a:buChar char="§"/>
                </a:pPr>
                <a:r>
                  <a:rPr lang="pl-PL" sz="1100" b="1">
                    <a:solidFill>
                      <a:schemeClr val="dk1"/>
                    </a:solidFill>
                    <a:effectLst/>
                    <a:latin typeface="+mn-lt"/>
                    <a:ea typeface="+mn-ea"/>
                    <a:cs typeface="+mn-cs"/>
                  </a:rPr>
                  <a:t>Wysoki zwrot z</a:t>
                </a:r>
                <a:r>
                  <a:rPr lang="pl-PL" sz="1100" b="1" baseline="0">
                    <a:solidFill>
                      <a:schemeClr val="dk1"/>
                    </a:solidFill>
                    <a:effectLst/>
                    <a:latin typeface="+mn-lt"/>
                    <a:ea typeface="+mn-ea"/>
                    <a:cs typeface="+mn-cs"/>
                  </a:rPr>
                  <a:t> przecen</a:t>
                </a:r>
                <a:r>
                  <a:rPr lang="pl-PL" sz="1100">
                    <a:solidFill>
                      <a:schemeClr val="dk1"/>
                    </a:solidFill>
                    <a:effectLst/>
                    <a:latin typeface="+mn-lt"/>
                    <a:ea typeface="+mn-ea"/>
                    <a:cs typeface="+mn-cs"/>
                  </a:rPr>
                  <a:t> - każda </a:t>
                </a:r>
                <a:r>
                  <a:rPr lang="pl-PL" sz="1100" b="1">
                    <a:solidFill>
                      <a:schemeClr val="dk1"/>
                    </a:solidFill>
                    <a:effectLst/>
                    <a:latin typeface="+mn-lt"/>
                    <a:ea typeface="+mn-ea"/>
                    <a:cs typeface="+mn-cs"/>
                  </a:rPr>
                  <a:t>1 zł</a:t>
                </a:r>
                <a:r>
                  <a:rPr lang="pl-PL" sz="1100" baseline="0">
                    <a:solidFill>
                      <a:schemeClr val="dk1"/>
                    </a:solidFill>
                    <a:effectLst/>
                    <a:latin typeface="+mn-lt"/>
                    <a:ea typeface="+mn-ea"/>
                    <a:cs typeface="+mn-cs"/>
                  </a:rPr>
                  <a:t> </a:t>
                </a:r>
                <a:r>
                  <a:rPr lang="pl-PL" sz="1100">
                    <a:solidFill>
                      <a:schemeClr val="dk1"/>
                    </a:solidFill>
                    <a:effectLst/>
                    <a:latin typeface="+mn-lt"/>
                    <a:ea typeface="+mn-ea"/>
                    <a:cs typeface="+mn-cs"/>
                  </a:rPr>
                  <a:t>rabatu przyniosła </a:t>
                </a:r>
                <a:r>
                  <a:rPr lang="pl-PL" sz="1100" b="1">
                    <a:solidFill>
                      <a:schemeClr val="dk1"/>
                    </a:solidFill>
                    <a:effectLst/>
                    <a:latin typeface="+mn-lt"/>
                    <a:ea typeface="+mn-ea"/>
                    <a:cs typeface="+mn-cs"/>
                  </a:rPr>
                  <a:t>2,58</a:t>
                </a:r>
                <a:r>
                  <a:rPr lang="pl-PL" sz="1100" b="1" baseline="0">
                    <a:solidFill>
                      <a:schemeClr val="dk1"/>
                    </a:solidFill>
                    <a:effectLst/>
                    <a:latin typeface="+mn-lt"/>
                    <a:ea typeface="+mn-ea"/>
                    <a:cs typeface="+mn-cs"/>
                  </a:rPr>
                  <a:t> zł </a:t>
                </a:r>
                <a:r>
                  <a:rPr lang="pl-PL" sz="1100">
                    <a:solidFill>
                      <a:schemeClr val="dk1"/>
                    </a:solidFill>
                    <a:effectLst/>
                    <a:latin typeface="+mn-lt"/>
                    <a:ea typeface="+mn-ea"/>
                    <a:cs typeface="+mn-cs"/>
                  </a:rPr>
                  <a:t>odzyskanego przychodu z towaru zagrożonego.</a:t>
                </a:r>
              </a:p>
              <a:p>
                <a:pPr marL="171450" lvl="0" indent="-171450">
                  <a:buFont typeface="Wingdings" panose="05000000000000000000" pitchFamily="2" charset="2"/>
                  <a:buChar char="§"/>
                </a:pPr>
                <a:r>
                  <a:rPr lang="pl-PL" sz="1100" b="1">
                    <a:solidFill>
                      <a:schemeClr val="dk1"/>
                    </a:solidFill>
                    <a:effectLst/>
                    <a:latin typeface="+mn-lt"/>
                    <a:ea typeface="+mn-ea"/>
                    <a:cs typeface="+mn-cs"/>
                  </a:rPr>
                  <a:t>Produkty sypkie</a:t>
                </a:r>
                <a:r>
                  <a:rPr lang="pl-PL" sz="1100" b="1" baseline="0">
                    <a:solidFill>
                      <a:schemeClr val="dk1"/>
                    </a:solidFill>
                    <a:effectLst/>
                    <a:latin typeface="+mn-lt"/>
                    <a:ea typeface="+mn-ea"/>
                    <a:cs typeface="+mn-cs"/>
                  </a:rPr>
                  <a:t> </a:t>
                </a:r>
                <a:r>
                  <a:rPr lang="pl-PL" sz="1100" b="1">
                    <a:solidFill>
                      <a:schemeClr val="dk1"/>
                    </a:solidFill>
                    <a:effectLst/>
                    <a:latin typeface="+mn-lt"/>
                    <a:ea typeface="+mn-ea"/>
                    <a:cs typeface="+mn-cs"/>
                  </a:rPr>
                  <a:t>liderami efektywności </a:t>
                </a:r>
                <a:r>
                  <a:rPr lang="pl-PL" sz="1100">
                    <a:solidFill>
                      <a:schemeClr val="dk1"/>
                    </a:solidFill>
                    <a:effectLst/>
                    <a:latin typeface="+mn-lt"/>
                    <a:ea typeface="+mn-ea"/>
                    <a:cs typeface="+mn-cs"/>
                  </a:rPr>
                  <a:t> - sosy, zupy oraz</a:t>
                </a:r>
                <a:r>
                  <a:rPr lang="pl-PL" sz="1100" baseline="0">
                    <a:solidFill>
                      <a:schemeClr val="dk1"/>
                    </a:solidFill>
                    <a:effectLst/>
                    <a:latin typeface="+mn-lt"/>
                    <a:ea typeface="+mn-ea"/>
                    <a:cs typeface="+mn-cs"/>
                  </a:rPr>
                  <a:t> </a:t>
                </a:r>
                <a:r>
                  <a:rPr lang="pl-PL" sz="1100">
                    <a:solidFill>
                      <a:schemeClr val="dk1"/>
                    </a:solidFill>
                    <a:effectLst/>
                    <a:latin typeface="+mn-lt"/>
                    <a:ea typeface="+mn-ea"/>
                    <a:cs typeface="+mn-cs"/>
                  </a:rPr>
                  <a:t>dania instant generują najwyższy zwrot z przecen.</a:t>
                </a:r>
              </a:p>
              <a:p>
                <a:pPr marL="171450" lvl="0" indent="-171450">
                  <a:buFont typeface="Wingdings" panose="05000000000000000000" pitchFamily="2" charset="2"/>
                  <a:buChar char="§"/>
                </a:pPr>
                <a:r>
                  <a:rPr lang="pl-PL" sz="1100" b="1">
                    <a:solidFill>
                      <a:schemeClr val="dk1"/>
                    </a:solidFill>
                    <a:effectLst/>
                    <a:latin typeface="+mn-lt"/>
                    <a:ea typeface="+mn-ea"/>
                    <a:cs typeface="+mn-cs"/>
                  </a:rPr>
                  <a:t>Optymalny próg rentowności</a:t>
                </a:r>
                <a:r>
                  <a:rPr lang="pl-PL" sz="1100">
                    <a:solidFill>
                      <a:schemeClr val="dk1"/>
                    </a:solidFill>
                    <a:effectLst/>
                    <a:latin typeface="+mn-lt"/>
                    <a:ea typeface="+mn-ea"/>
                    <a:cs typeface="+mn-cs"/>
                  </a:rPr>
                  <a:t> </a:t>
                </a:r>
                <a:r>
                  <a:rPr lang="pl-PL" sz="1100" b="0">
                    <a:solidFill>
                      <a:schemeClr val="dk1"/>
                    </a:solidFill>
                    <a:effectLst/>
                    <a:latin typeface="+mn-lt"/>
                    <a:ea typeface="+mn-ea"/>
                    <a:cs typeface="+mn-cs"/>
                  </a:rPr>
                  <a:t>-</a:t>
                </a:r>
                <a:r>
                  <a:rPr lang="pl-PL" sz="1100">
                    <a:solidFill>
                      <a:schemeClr val="dk1"/>
                    </a:solidFill>
                    <a:effectLst/>
                    <a:latin typeface="+mn-lt"/>
                    <a:ea typeface="+mn-ea"/>
                    <a:cs typeface="+mn-cs"/>
                  </a:rPr>
                  <a:t> rabat </a:t>
                </a:r>
                <a:r>
                  <a:rPr lang="pl-PL" sz="1100" b="1">
                    <a:solidFill>
                      <a:schemeClr val="dk1"/>
                    </a:solidFill>
                    <a:effectLst/>
                    <a:latin typeface="+mn-lt"/>
                    <a:ea typeface="+mn-ea"/>
                    <a:cs typeface="+mn-cs"/>
                  </a:rPr>
                  <a:t>20%</a:t>
                </a:r>
                <a:r>
                  <a:rPr lang="pl-PL" sz="1100">
                    <a:solidFill>
                      <a:schemeClr val="dk1"/>
                    </a:solidFill>
                    <a:effectLst/>
                    <a:latin typeface="+mn-lt"/>
                    <a:ea typeface="+mn-ea"/>
                    <a:cs typeface="+mn-cs"/>
                  </a:rPr>
                  <a:t> </a:t>
                </a:r>
                <a:r>
                  <a:rPr lang="pl-PL" sz="1100" b="0" i="0">
                    <a:solidFill>
                      <a:schemeClr val="dk1"/>
                    </a:solidFill>
                    <a:latin typeface="Cambria Math" panose="02040503050406030204" pitchFamily="18" charset="0"/>
                    <a:ea typeface="+mn-ea"/>
                    <a:cs typeface="+mn-cs"/>
                  </a:rPr>
                  <a:t> </a:t>
                </a:r>
                <a:r>
                  <a:rPr lang="pl-PL" sz="1100">
                    <a:solidFill>
                      <a:schemeClr val="dk1"/>
                    </a:solidFill>
                    <a:effectLst/>
                    <a:latin typeface="+mn-lt"/>
                    <a:ea typeface="+mn-ea"/>
                    <a:cs typeface="+mn-cs"/>
                  </a:rPr>
                  <a:t>wygenerował</a:t>
                </a:r>
                <a:r>
                  <a:rPr lang="pl-PL" sz="1100" baseline="0">
                    <a:solidFill>
                      <a:schemeClr val="dk1"/>
                    </a:solidFill>
                    <a:effectLst/>
                    <a:latin typeface="+mn-lt"/>
                    <a:ea typeface="+mn-ea"/>
                    <a:cs typeface="+mn-cs"/>
                  </a:rPr>
                  <a:t> </a:t>
                </a:r>
                <a:r>
                  <a:rPr lang="pl-PL" sz="1100" b="1" baseline="0">
                    <a:solidFill>
                      <a:schemeClr val="dk1"/>
                    </a:solidFill>
                    <a:effectLst/>
                    <a:latin typeface="+mn-lt"/>
                    <a:ea typeface="+mn-ea"/>
                    <a:cs typeface="+mn-cs"/>
                  </a:rPr>
                  <a:t>320 zł</a:t>
                </a:r>
                <a:r>
                  <a:rPr lang="pl-PL" sz="1100" baseline="0">
                    <a:solidFill>
                      <a:schemeClr val="dk1"/>
                    </a:solidFill>
                    <a:effectLst/>
                    <a:latin typeface="+mn-lt"/>
                    <a:ea typeface="+mn-ea"/>
                    <a:cs typeface="+mn-cs"/>
                  </a:rPr>
                  <a:t> </a:t>
                </a:r>
                <a:r>
                  <a:rPr lang="pl-PL" sz="1100">
                    <a:solidFill>
                      <a:schemeClr val="dk1"/>
                    </a:solidFill>
                    <a:effectLst/>
                    <a:latin typeface="+mn-lt"/>
                    <a:ea typeface="+mn-ea"/>
                    <a:cs typeface="+mn-cs"/>
                  </a:rPr>
                  <a:t>odzysku przy koszcie zaledwie </a:t>
                </a:r>
                <a:r>
                  <a:rPr lang="pl-PL" sz="1100" b="1">
                    <a:solidFill>
                      <a:schemeClr val="dk1"/>
                    </a:solidFill>
                    <a:effectLst/>
                    <a:latin typeface="+mn-lt"/>
                    <a:ea typeface="+mn-ea"/>
                    <a:cs typeface="+mn-cs"/>
                  </a:rPr>
                  <a:t>80 zł</a:t>
                </a:r>
                <a:r>
                  <a:rPr lang="pl-PL" sz="1100">
                    <a:solidFill>
                      <a:schemeClr val="dk1"/>
                    </a:solidFill>
                    <a:effectLst/>
                    <a:latin typeface="+mn-lt"/>
                    <a:ea typeface="+mn-ea"/>
                    <a:cs typeface="+mn-cs"/>
                  </a:rPr>
                  <a:t>, osiągając 2-krotnie wyższą efektywność niż rabat </a:t>
                </a:r>
                <a:r>
                  <a:rPr lang="pl-PL" sz="1100" b="1">
                    <a:solidFill>
                      <a:schemeClr val="dk1"/>
                    </a:solidFill>
                    <a:effectLst/>
                    <a:latin typeface="+mn-lt"/>
                    <a:ea typeface="+mn-ea"/>
                    <a:cs typeface="+mn-cs"/>
                  </a:rPr>
                  <a:t>40%</a:t>
                </a:r>
                <a:r>
                  <a:rPr lang="pl-PL" sz="1100">
                    <a:solidFill>
                      <a:schemeClr val="dk1"/>
                    </a:solidFill>
                    <a:effectLst/>
                    <a:latin typeface="+mn-lt"/>
                    <a:ea typeface="+mn-ea"/>
                    <a:cs typeface="+mn-cs"/>
                  </a:rPr>
                  <a:t> .</a:t>
                </a:r>
              </a:p>
            </xdr:txBody>
          </xdr:sp>
        </mc:Fallback>
      </mc:AlternateContent>
    </xdr:grpSp>
    <xdr:clientData/>
  </xdr:twoCellAnchor>
  <xdr:twoCellAnchor>
    <xdr:from>
      <xdr:col>0</xdr:col>
      <xdr:colOff>137583</xdr:colOff>
      <xdr:row>8</xdr:row>
      <xdr:rowOff>42333</xdr:rowOff>
    </xdr:from>
    <xdr:to>
      <xdr:col>2</xdr:col>
      <xdr:colOff>624417</xdr:colOff>
      <xdr:row>12</xdr:row>
      <xdr:rowOff>185208</xdr:rowOff>
    </xdr:to>
    <xdr:grpSp>
      <xdr:nvGrpSpPr>
        <xdr:cNvPr id="15" name="Group 14">
          <a:extLst>
            <a:ext uri="{FF2B5EF4-FFF2-40B4-BE49-F238E27FC236}">
              <a16:creationId xmlns:a16="http://schemas.microsoft.com/office/drawing/2014/main" id="{C4A0AD2F-564D-4182-A399-B8EADD8229DE}"/>
            </a:ext>
          </a:extLst>
        </xdr:cNvPr>
        <xdr:cNvGrpSpPr/>
      </xdr:nvGrpSpPr>
      <xdr:grpSpPr>
        <a:xfrm>
          <a:off x="137583" y="1986211"/>
          <a:ext cx="1925303" cy="1114813"/>
          <a:chOff x="198653" y="1947333"/>
          <a:chExt cx="1934197" cy="1116542"/>
        </a:xfrm>
      </xdr:grpSpPr>
      <xdr:sp macro="" textlink="#REF!">
        <xdr:nvSpPr>
          <xdr:cNvPr id="16" name="Rectangle: Rounded Corners 15">
            <a:extLst>
              <a:ext uri="{FF2B5EF4-FFF2-40B4-BE49-F238E27FC236}">
                <a16:creationId xmlns:a16="http://schemas.microsoft.com/office/drawing/2014/main" id="{F0AF76B7-87EA-9A53-A43E-39F1A9EB187F}"/>
              </a:ext>
            </a:extLst>
          </xdr:cNvPr>
          <xdr:cNvSpPr/>
        </xdr:nvSpPr>
        <xdr:spPr>
          <a:xfrm>
            <a:off x="198653" y="1947333"/>
            <a:ext cx="1934197" cy="1116542"/>
          </a:xfrm>
          <a:prstGeom prst="roundRect">
            <a:avLst/>
          </a:prstGeom>
          <a:solidFill>
            <a:srgbClr val="BEBA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pl-PL" sz="1100" b="0" i="0" u="none" strike="noStrike">
              <a:solidFill>
                <a:srgbClr val="000000"/>
              </a:solidFill>
              <a:latin typeface="Aptos Narrow"/>
            </a:endParaRPr>
          </a:p>
        </xdr:txBody>
      </xdr:sp>
      <mc:AlternateContent xmlns:mc="http://schemas.openxmlformats.org/markup-compatibility/2006" xmlns:a14="http://schemas.microsoft.com/office/drawing/2010/main">
        <mc:Choice Requires="a14">
          <xdr:graphicFrame macro="">
            <xdr:nvGraphicFramePr>
              <xdr:cNvPr id="17" name="Sklep 4">
                <a:extLst>
                  <a:ext uri="{FF2B5EF4-FFF2-40B4-BE49-F238E27FC236}">
                    <a16:creationId xmlns:a16="http://schemas.microsoft.com/office/drawing/2014/main" id="{06ACDF84-691C-0466-E800-2846E04D4B6C}"/>
                  </a:ext>
                </a:extLst>
              </xdr:cNvPr>
              <xdr:cNvGraphicFramePr/>
            </xdr:nvGraphicFramePr>
            <xdr:xfrm>
              <a:off x="304202" y="2034116"/>
              <a:ext cx="1735603" cy="954618"/>
            </xdr:xfrm>
            <a:graphic>
              <a:graphicData uri="http://schemas.microsoft.com/office/drawing/2010/slicer">
                <sle:slicer xmlns:sle="http://schemas.microsoft.com/office/drawing/2010/slicer" name="Sklep 4"/>
              </a:graphicData>
            </a:graphic>
          </xdr:graphicFrame>
        </mc:Choice>
        <mc:Fallback xmlns="">
          <xdr:sp macro="" textlink="">
            <xdr:nvSpPr>
              <xdr:cNvPr id="0" name=""/>
              <xdr:cNvSpPr>
                <a:spLocks noTextEdit="1"/>
              </xdr:cNvSpPr>
            </xdr:nvSpPr>
            <xdr:spPr>
              <a:xfrm>
                <a:off x="242116" y="2131422"/>
                <a:ext cx="1718901" cy="977239"/>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127000</xdr:colOff>
      <xdr:row>13</xdr:row>
      <xdr:rowOff>132292</xdr:rowOff>
    </xdr:from>
    <xdr:to>
      <xdr:col>2</xdr:col>
      <xdr:colOff>624417</xdr:colOff>
      <xdr:row>18</xdr:row>
      <xdr:rowOff>94192</xdr:rowOff>
    </xdr:to>
    <xdr:grpSp>
      <xdr:nvGrpSpPr>
        <xdr:cNvPr id="18" name="Group 17">
          <a:extLst>
            <a:ext uri="{FF2B5EF4-FFF2-40B4-BE49-F238E27FC236}">
              <a16:creationId xmlns:a16="http://schemas.microsoft.com/office/drawing/2014/main" id="{C0B25E5B-4F20-47FA-8F3F-8AECBBB14436}"/>
            </a:ext>
          </a:extLst>
        </xdr:cNvPr>
        <xdr:cNvGrpSpPr/>
      </xdr:nvGrpSpPr>
      <xdr:grpSpPr>
        <a:xfrm>
          <a:off x="127000" y="3291093"/>
          <a:ext cx="1935886" cy="1176823"/>
          <a:chOff x="152836" y="3307292"/>
          <a:chExt cx="1924672" cy="1178983"/>
        </a:xfrm>
      </xdr:grpSpPr>
      <xdr:sp macro="" textlink="#REF!">
        <xdr:nvSpPr>
          <xdr:cNvPr id="19" name="Rectangle: Rounded Corners 18">
            <a:extLst>
              <a:ext uri="{FF2B5EF4-FFF2-40B4-BE49-F238E27FC236}">
                <a16:creationId xmlns:a16="http://schemas.microsoft.com/office/drawing/2014/main" id="{E1C9EEAE-DE88-AEE6-B667-CFE6066C16C6}"/>
              </a:ext>
            </a:extLst>
          </xdr:cNvPr>
          <xdr:cNvSpPr/>
        </xdr:nvSpPr>
        <xdr:spPr>
          <a:xfrm>
            <a:off x="152836" y="3307292"/>
            <a:ext cx="1924672" cy="1178983"/>
          </a:xfrm>
          <a:prstGeom prst="roundRect">
            <a:avLst/>
          </a:prstGeom>
          <a:solidFill>
            <a:srgbClr val="BEBA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pl-PL" sz="1100" b="0" i="0" u="none" strike="noStrike">
              <a:solidFill>
                <a:srgbClr val="000000"/>
              </a:solidFill>
              <a:latin typeface="Aptos Narrow"/>
            </a:endParaRPr>
          </a:p>
        </xdr:txBody>
      </xdr:sp>
      <mc:AlternateContent xmlns:mc="http://schemas.openxmlformats.org/markup-compatibility/2006" xmlns:a14="http://schemas.microsoft.com/office/drawing/2010/main">
        <mc:Choice Requires="a14">
          <xdr:graphicFrame macro="">
            <xdr:nvGraphicFramePr>
              <xdr:cNvPr id="20" name="Marka 4">
                <a:extLst>
                  <a:ext uri="{FF2B5EF4-FFF2-40B4-BE49-F238E27FC236}">
                    <a16:creationId xmlns:a16="http://schemas.microsoft.com/office/drawing/2014/main" id="{09C5C9E4-7B81-8B04-D5F6-54CDC3B90083}"/>
                  </a:ext>
                </a:extLst>
              </xdr:cNvPr>
              <xdr:cNvGraphicFramePr/>
            </xdr:nvGraphicFramePr>
            <xdr:xfrm>
              <a:off x="216536" y="3384550"/>
              <a:ext cx="1820767" cy="1022349"/>
            </xdr:xfrm>
            <a:graphic>
              <a:graphicData uri="http://schemas.microsoft.com/office/drawing/2010/slicer">
                <sle:slicer xmlns:sle="http://schemas.microsoft.com/office/drawing/2010/slicer" name="Marka 4"/>
              </a:graphicData>
            </a:graphic>
          </xdr:graphicFrame>
        </mc:Choice>
        <mc:Fallback xmlns="">
          <xdr:sp macro="" textlink="">
            <xdr:nvSpPr>
              <xdr:cNvPr id="0" name=""/>
              <xdr:cNvSpPr>
                <a:spLocks noTextEdit="1"/>
              </xdr:cNvSpPr>
            </xdr:nvSpPr>
            <xdr:spPr>
              <a:xfrm>
                <a:off x="190749" y="3462123"/>
                <a:ext cx="1822181" cy="1051029"/>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112183</xdr:colOff>
      <xdr:row>19</xdr:row>
      <xdr:rowOff>95251</xdr:rowOff>
    </xdr:from>
    <xdr:to>
      <xdr:col>2</xdr:col>
      <xdr:colOff>617008</xdr:colOff>
      <xdr:row>26</xdr:row>
      <xdr:rowOff>170393</xdr:rowOff>
    </xdr:to>
    <xdr:grpSp>
      <xdr:nvGrpSpPr>
        <xdr:cNvPr id="21" name="Group 20">
          <a:extLst>
            <a:ext uri="{FF2B5EF4-FFF2-40B4-BE49-F238E27FC236}">
              <a16:creationId xmlns:a16="http://schemas.microsoft.com/office/drawing/2014/main" id="{A5373B70-2217-4CC8-BCEC-958653966C97}"/>
            </a:ext>
          </a:extLst>
        </xdr:cNvPr>
        <xdr:cNvGrpSpPr/>
      </xdr:nvGrpSpPr>
      <xdr:grpSpPr>
        <a:xfrm>
          <a:off x="112183" y="4711960"/>
          <a:ext cx="1943294" cy="1776035"/>
          <a:chOff x="133349" y="4635501"/>
          <a:chExt cx="1944158" cy="1779058"/>
        </a:xfrm>
      </xdr:grpSpPr>
      <xdr:sp macro="" textlink="#REF!">
        <xdr:nvSpPr>
          <xdr:cNvPr id="22" name="Rectangle: Rounded Corners 21">
            <a:extLst>
              <a:ext uri="{FF2B5EF4-FFF2-40B4-BE49-F238E27FC236}">
                <a16:creationId xmlns:a16="http://schemas.microsoft.com/office/drawing/2014/main" id="{000C020F-4D91-06E1-8B7C-CD401485BF50}"/>
              </a:ext>
            </a:extLst>
          </xdr:cNvPr>
          <xdr:cNvSpPr/>
        </xdr:nvSpPr>
        <xdr:spPr>
          <a:xfrm>
            <a:off x="133349" y="4635501"/>
            <a:ext cx="1944158" cy="1779058"/>
          </a:xfrm>
          <a:prstGeom prst="roundRect">
            <a:avLst/>
          </a:prstGeom>
          <a:solidFill>
            <a:srgbClr val="BEBA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pl-PL" sz="1100" b="0" i="0" u="none" strike="noStrike">
              <a:solidFill>
                <a:srgbClr val="000000"/>
              </a:solidFill>
              <a:latin typeface="Aptos Narrow"/>
            </a:endParaRPr>
          </a:p>
        </xdr:txBody>
      </xdr:sp>
      <mc:AlternateContent xmlns:mc="http://schemas.openxmlformats.org/markup-compatibility/2006" xmlns:a14="http://schemas.microsoft.com/office/drawing/2010/main">
        <mc:Choice Requires="a14">
          <xdr:graphicFrame macro="">
            <xdr:nvGraphicFramePr>
              <xdr:cNvPr id="23" name="Numer Miesiąca 2">
                <a:extLst>
                  <a:ext uri="{FF2B5EF4-FFF2-40B4-BE49-F238E27FC236}">
                    <a16:creationId xmlns:a16="http://schemas.microsoft.com/office/drawing/2014/main" id="{CFC6E580-F0D9-88AB-3750-6742EB4F5289}"/>
                  </a:ext>
                </a:extLst>
              </xdr:cNvPr>
              <xdr:cNvGraphicFramePr/>
            </xdr:nvGraphicFramePr>
            <xdr:xfrm>
              <a:off x="209117" y="4769287"/>
              <a:ext cx="1799600" cy="1524621"/>
            </xdr:xfrm>
            <a:graphic>
              <a:graphicData uri="http://schemas.microsoft.com/office/drawing/2010/slicer">
                <sle:slicer xmlns:sle="http://schemas.microsoft.com/office/drawing/2010/slicer" name="Numer Miesiąca 2"/>
              </a:graphicData>
            </a:graphic>
          </xdr:graphicFrame>
        </mc:Choice>
        <mc:Fallback xmlns="">
          <xdr:sp macro="" textlink="">
            <xdr:nvSpPr>
              <xdr:cNvPr id="0" name=""/>
              <xdr:cNvSpPr>
                <a:spLocks noTextEdit="1"/>
              </xdr:cNvSpPr>
            </xdr:nvSpPr>
            <xdr:spPr>
              <a:xfrm>
                <a:off x="187539" y="4983113"/>
                <a:ext cx="1789804" cy="1564302"/>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xdr:col>
      <xdr:colOff>107157</xdr:colOff>
      <xdr:row>2</xdr:row>
      <xdr:rowOff>230982</xdr:rowOff>
    </xdr:from>
    <xdr:to>
      <xdr:col>7</xdr:col>
      <xdr:colOff>347399</xdr:colOff>
      <xdr:row>7</xdr:row>
      <xdr:rowOff>11644</xdr:rowOff>
    </xdr:to>
    <xdr:grpSp>
      <xdr:nvGrpSpPr>
        <xdr:cNvPr id="43" name="Group 42">
          <a:extLst>
            <a:ext uri="{FF2B5EF4-FFF2-40B4-BE49-F238E27FC236}">
              <a16:creationId xmlns:a16="http://schemas.microsoft.com/office/drawing/2014/main" id="{B2D6BFFF-7944-4374-9F59-07BE525CF557}"/>
            </a:ext>
          </a:extLst>
        </xdr:cNvPr>
        <xdr:cNvGrpSpPr/>
      </xdr:nvGrpSpPr>
      <xdr:grpSpPr>
        <a:xfrm>
          <a:off x="2264861" y="716951"/>
          <a:ext cx="3117181" cy="995586"/>
          <a:chOff x="2295525" y="691091"/>
          <a:chExt cx="3076575" cy="1051984"/>
        </a:xfrm>
        <a:solidFill>
          <a:srgbClr val="76AE7F"/>
        </a:solidFill>
      </xdr:grpSpPr>
      <xdr:sp macro="" textlink="">
        <xdr:nvSpPr>
          <xdr:cNvPr id="44" name="Rectangle: Rounded Corners 43">
            <a:extLst>
              <a:ext uri="{FF2B5EF4-FFF2-40B4-BE49-F238E27FC236}">
                <a16:creationId xmlns:a16="http://schemas.microsoft.com/office/drawing/2014/main" id="{3CD5A880-C5FE-1376-D639-EFBEA721B831}"/>
              </a:ext>
            </a:extLst>
          </xdr:cNvPr>
          <xdr:cNvSpPr/>
        </xdr:nvSpPr>
        <xdr:spPr>
          <a:xfrm>
            <a:off x="2295525" y="691091"/>
            <a:ext cx="3076575" cy="1051984"/>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endParaRPr lang="en-US"/>
          </a:p>
        </xdr:txBody>
      </xdr:sp>
      <xdr:sp macro="" textlink="">
        <xdr:nvSpPr>
          <xdr:cNvPr id="45" name="Rectangle: Rounded Corners 44">
            <a:extLst>
              <a:ext uri="{FF2B5EF4-FFF2-40B4-BE49-F238E27FC236}">
                <a16:creationId xmlns:a16="http://schemas.microsoft.com/office/drawing/2014/main" id="{D78948D3-B4AD-8760-6B7A-53BFCB20EB82}"/>
              </a:ext>
            </a:extLst>
          </xdr:cNvPr>
          <xdr:cNvSpPr/>
        </xdr:nvSpPr>
        <xdr:spPr>
          <a:xfrm>
            <a:off x="2305050" y="809625"/>
            <a:ext cx="3000375" cy="31432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pl-PL" sz="1600" b="0" i="0" u="none" strike="noStrike">
                <a:solidFill>
                  <a:srgbClr val="000000"/>
                </a:solidFill>
                <a:latin typeface="Aptos Narrow"/>
              </a:rPr>
              <a:t>Odzysk z przecen</a:t>
            </a:r>
          </a:p>
        </xdr:txBody>
      </xdr:sp>
      <xdr:sp macro="" textlink="'Tabele przestawne'!J26">
        <xdr:nvSpPr>
          <xdr:cNvPr id="46" name="Rectangle: Rounded Corners 45">
            <a:extLst>
              <a:ext uri="{FF2B5EF4-FFF2-40B4-BE49-F238E27FC236}">
                <a16:creationId xmlns:a16="http://schemas.microsoft.com/office/drawing/2014/main" id="{99B8CC90-E97B-B66E-418E-5549BCE029A9}"/>
              </a:ext>
            </a:extLst>
          </xdr:cNvPr>
          <xdr:cNvSpPr/>
        </xdr:nvSpPr>
        <xdr:spPr>
          <a:xfrm>
            <a:off x="2295525" y="1200150"/>
            <a:ext cx="3067049" cy="3429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lvl="0" algn="ctr"/>
            <a:fld id="{8F3131D8-705F-498B-A2C8-D08F05476398}" type="TxLink">
              <a:rPr lang="en-US" sz="1800" b="1" i="0" u="none" strike="noStrike">
                <a:solidFill>
                  <a:srgbClr val="000000"/>
                </a:solidFill>
                <a:latin typeface="Aptos Narrow"/>
              </a:rPr>
              <a:pPr lvl="0" algn="ctr"/>
              <a:t> 477 zł </a:t>
            </a:fld>
            <a:endParaRPr lang="pl-PL" sz="1800" b="1"/>
          </a:p>
        </xdr:txBody>
      </xdr:sp>
    </xdr:grpSp>
    <xdr:clientData/>
  </xdr:twoCellAnchor>
  <xdr:twoCellAnchor>
    <xdr:from>
      <xdr:col>7</xdr:col>
      <xdr:colOff>614099</xdr:colOff>
      <xdr:row>2</xdr:row>
      <xdr:rowOff>230982</xdr:rowOff>
    </xdr:from>
    <xdr:to>
      <xdr:col>12</xdr:col>
      <xdr:colOff>145257</xdr:colOff>
      <xdr:row>7</xdr:row>
      <xdr:rowOff>11644</xdr:rowOff>
    </xdr:to>
    <xdr:grpSp>
      <xdr:nvGrpSpPr>
        <xdr:cNvPr id="47" name="Group 46">
          <a:extLst>
            <a:ext uri="{FF2B5EF4-FFF2-40B4-BE49-F238E27FC236}">
              <a16:creationId xmlns:a16="http://schemas.microsoft.com/office/drawing/2014/main" id="{74F1A556-C169-49F1-8FFE-CA495D571D5A}"/>
            </a:ext>
          </a:extLst>
        </xdr:cNvPr>
        <xdr:cNvGrpSpPr/>
      </xdr:nvGrpSpPr>
      <xdr:grpSpPr>
        <a:xfrm>
          <a:off x="5648742" y="716951"/>
          <a:ext cx="3127331" cy="995586"/>
          <a:chOff x="2295525" y="691091"/>
          <a:chExt cx="3076575" cy="1051984"/>
        </a:xfrm>
        <a:solidFill>
          <a:srgbClr val="BEBAF8"/>
        </a:solidFill>
      </xdr:grpSpPr>
      <xdr:sp macro="" textlink="">
        <xdr:nvSpPr>
          <xdr:cNvPr id="48" name="Rectangle: Rounded Corners 47">
            <a:extLst>
              <a:ext uri="{FF2B5EF4-FFF2-40B4-BE49-F238E27FC236}">
                <a16:creationId xmlns:a16="http://schemas.microsoft.com/office/drawing/2014/main" id="{CD1EF617-41B7-31F6-5498-EDE57819741B}"/>
              </a:ext>
            </a:extLst>
          </xdr:cNvPr>
          <xdr:cNvSpPr/>
        </xdr:nvSpPr>
        <xdr:spPr>
          <a:xfrm>
            <a:off x="2295525" y="691091"/>
            <a:ext cx="3076575" cy="1051984"/>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endParaRPr lang="en-US"/>
          </a:p>
        </xdr:txBody>
      </xdr:sp>
      <xdr:sp macro="" textlink="">
        <xdr:nvSpPr>
          <xdr:cNvPr id="49" name="Rectangle: Rounded Corners 48">
            <a:extLst>
              <a:ext uri="{FF2B5EF4-FFF2-40B4-BE49-F238E27FC236}">
                <a16:creationId xmlns:a16="http://schemas.microsoft.com/office/drawing/2014/main" id="{2C752569-78DF-F6E7-A3BA-7419FAF92DD1}"/>
              </a:ext>
            </a:extLst>
          </xdr:cNvPr>
          <xdr:cNvSpPr/>
        </xdr:nvSpPr>
        <xdr:spPr>
          <a:xfrm>
            <a:off x="2305050" y="809625"/>
            <a:ext cx="3000375" cy="31432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pl-PL" sz="1600" b="0" i="0" u="none" strike="noStrike">
                <a:solidFill>
                  <a:srgbClr val="000000"/>
                </a:solidFill>
                <a:latin typeface="Aptos Narrow"/>
              </a:rPr>
              <a:t>Efektywność</a:t>
            </a:r>
            <a:r>
              <a:rPr lang="pl-PL" sz="1600" b="0" i="0" u="none" strike="noStrike" baseline="0">
                <a:solidFill>
                  <a:srgbClr val="000000"/>
                </a:solidFill>
                <a:latin typeface="Aptos Narrow"/>
              </a:rPr>
              <a:t> </a:t>
            </a:r>
            <a:r>
              <a:rPr lang="pl-PL" sz="1600" b="0" i="0" u="none" strike="noStrike">
                <a:solidFill>
                  <a:srgbClr val="000000"/>
                </a:solidFill>
                <a:latin typeface="Aptos Narrow"/>
              </a:rPr>
              <a:t>przecen (ROI)</a:t>
            </a:r>
          </a:p>
        </xdr:txBody>
      </xdr:sp>
      <xdr:sp macro="" textlink="'Tabele przestawne'!J38">
        <xdr:nvSpPr>
          <xdr:cNvPr id="50" name="Rectangle: Rounded Corners 49">
            <a:extLst>
              <a:ext uri="{FF2B5EF4-FFF2-40B4-BE49-F238E27FC236}">
                <a16:creationId xmlns:a16="http://schemas.microsoft.com/office/drawing/2014/main" id="{ECBECA7E-F242-EC7F-BD07-1E086AB52695}"/>
              </a:ext>
            </a:extLst>
          </xdr:cNvPr>
          <xdr:cNvSpPr/>
        </xdr:nvSpPr>
        <xdr:spPr>
          <a:xfrm>
            <a:off x="2295525" y="1200150"/>
            <a:ext cx="3067049" cy="3429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lvl="0" algn="ctr"/>
            <a:fld id="{7CDEBC11-474D-41F3-95EF-AEA778094BA9}" type="TxLink">
              <a:rPr lang="en-US" sz="1800" b="1" i="0" u="none" strike="noStrike">
                <a:solidFill>
                  <a:srgbClr val="000000"/>
                </a:solidFill>
                <a:latin typeface="Aptos Narrow"/>
              </a:rPr>
              <a:pPr lvl="0" algn="ctr"/>
              <a:t>258%</a:t>
            </a:fld>
            <a:endParaRPr lang="pl-PL" sz="1800" b="1"/>
          </a:p>
        </xdr:txBody>
      </xdr:sp>
    </xdr:grpSp>
    <xdr:clientData/>
  </xdr:twoCellAnchor>
  <xdr:twoCellAnchor>
    <xdr:from>
      <xdr:col>12</xdr:col>
      <xdr:colOff>354807</xdr:colOff>
      <xdr:row>2</xdr:row>
      <xdr:rowOff>202407</xdr:rowOff>
    </xdr:from>
    <xdr:to>
      <xdr:col>16</xdr:col>
      <xdr:colOff>595049</xdr:colOff>
      <xdr:row>6</xdr:row>
      <xdr:rowOff>237333</xdr:rowOff>
    </xdr:to>
    <xdr:grpSp>
      <xdr:nvGrpSpPr>
        <xdr:cNvPr id="51" name="Group 50">
          <a:extLst>
            <a:ext uri="{FF2B5EF4-FFF2-40B4-BE49-F238E27FC236}">
              <a16:creationId xmlns:a16="http://schemas.microsoft.com/office/drawing/2014/main" id="{364A749C-BBD2-4738-8D72-4C796174ACBD}"/>
            </a:ext>
          </a:extLst>
        </xdr:cNvPr>
        <xdr:cNvGrpSpPr/>
      </xdr:nvGrpSpPr>
      <xdr:grpSpPr>
        <a:xfrm>
          <a:off x="8985623" y="688376"/>
          <a:ext cx="3117181" cy="1006865"/>
          <a:chOff x="2295525" y="691091"/>
          <a:chExt cx="3076575" cy="1051984"/>
        </a:xfrm>
        <a:solidFill>
          <a:srgbClr val="BF5959"/>
        </a:solidFill>
      </xdr:grpSpPr>
      <xdr:sp macro="" textlink="">
        <xdr:nvSpPr>
          <xdr:cNvPr id="52" name="Rectangle: Rounded Corners 51">
            <a:extLst>
              <a:ext uri="{FF2B5EF4-FFF2-40B4-BE49-F238E27FC236}">
                <a16:creationId xmlns:a16="http://schemas.microsoft.com/office/drawing/2014/main" id="{5DF4E6EB-0076-C600-CBD9-1478768B5A2F}"/>
              </a:ext>
            </a:extLst>
          </xdr:cNvPr>
          <xdr:cNvSpPr/>
        </xdr:nvSpPr>
        <xdr:spPr>
          <a:xfrm>
            <a:off x="2295525" y="691091"/>
            <a:ext cx="3076575" cy="1051984"/>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endParaRPr lang="en-US"/>
          </a:p>
        </xdr:txBody>
      </xdr:sp>
      <xdr:sp macro="" textlink="">
        <xdr:nvSpPr>
          <xdr:cNvPr id="53" name="Rectangle: Rounded Corners 52">
            <a:extLst>
              <a:ext uri="{FF2B5EF4-FFF2-40B4-BE49-F238E27FC236}">
                <a16:creationId xmlns:a16="http://schemas.microsoft.com/office/drawing/2014/main" id="{53162797-ECDA-B640-3017-1568E8021A06}"/>
              </a:ext>
            </a:extLst>
          </xdr:cNvPr>
          <xdr:cNvSpPr/>
        </xdr:nvSpPr>
        <xdr:spPr>
          <a:xfrm>
            <a:off x="2305050" y="809625"/>
            <a:ext cx="3000375" cy="31432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pl-PL" sz="1600" b="0" i="0" u="none" strike="noStrike">
                <a:solidFill>
                  <a:srgbClr val="000000"/>
                </a:solidFill>
                <a:latin typeface="Aptos Narrow"/>
              </a:rPr>
              <a:t>Udział przecen</a:t>
            </a:r>
            <a:r>
              <a:rPr lang="pl-PL" sz="1600" b="0" i="0" u="none" strike="noStrike" baseline="0">
                <a:solidFill>
                  <a:srgbClr val="000000"/>
                </a:solidFill>
                <a:latin typeface="Aptos Narrow"/>
              </a:rPr>
              <a:t> w odzysku</a:t>
            </a:r>
            <a:endParaRPr lang="pl-PL" sz="1600" b="0" i="0" u="none" strike="noStrike">
              <a:solidFill>
                <a:srgbClr val="000000"/>
              </a:solidFill>
              <a:latin typeface="Aptos Narrow"/>
            </a:endParaRPr>
          </a:p>
        </xdr:txBody>
      </xdr:sp>
      <xdr:sp macro="" textlink="'Tabele przestawne'!J47">
        <xdr:nvSpPr>
          <xdr:cNvPr id="54" name="Rectangle: Rounded Corners 53">
            <a:extLst>
              <a:ext uri="{FF2B5EF4-FFF2-40B4-BE49-F238E27FC236}">
                <a16:creationId xmlns:a16="http://schemas.microsoft.com/office/drawing/2014/main" id="{1DDC9295-0A71-A122-AEC6-F9B21BF746E7}"/>
              </a:ext>
            </a:extLst>
          </xdr:cNvPr>
          <xdr:cNvSpPr/>
        </xdr:nvSpPr>
        <xdr:spPr>
          <a:xfrm>
            <a:off x="2295525" y="1200150"/>
            <a:ext cx="3067049" cy="3429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lvl="0" algn="ctr"/>
            <a:fld id="{6DDB84EF-C4A3-4EBF-A2B8-EF1111E128C1}" type="TxLink">
              <a:rPr lang="en-US" sz="1800" b="1" i="0" u="none" strike="noStrike">
                <a:solidFill>
                  <a:srgbClr val="000000"/>
                </a:solidFill>
                <a:latin typeface="Aptos Narrow"/>
              </a:rPr>
              <a:pPr lvl="0" algn="ctr"/>
              <a:t>37%</a:t>
            </a:fld>
            <a:endParaRPr lang="pl-PL" sz="1800" b="1"/>
          </a:p>
        </xdr:txBody>
      </xdr:sp>
    </xdr:grpSp>
    <xdr:clientData/>
  </xdr:twoCellAnchor>
  <xdr:twoCellAnchor>
    <xdr:from>
      <xdr:col>9</xdr:col>
      <xdr:colOff>412750</xdr:colOff>
      <xdr:row>17</xdr:row>
      <xdr:rowOff>232834</xdr:rowOff>
    </xdr:from>
    <xdr:to>
      <xdr:col>16</xdr:col>
      <xdr:colOff>635000</xdr:colOff>
      <xdr:row>27</xdr:row>
      <xdr:rowOff>137583</xdr:rowOff>
    </xdr:to>
    <xdr:graphicFrame macro="">
      <xdr:nvGraphicFramePr>
        <xdr:cNvPr id="55" name="Chart 54">
          <a:extLst>
            <a:ext uri="{FF2B5EF4-FFF2-40B4-BE49-F238E27FC236}">
              <a16:creationId xmlns:a16="http://schemas.microsoft.com/office/drawing/2014/main" id="{E57A70AE-039E-40F4-95CE-54E1200EC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116418</xdr:colOff>
      <xdr:row>14</xdr:row>
      <xdr:rowOff>169335</xdr:rowOff>
    </xdr:from>
    <xdr:to>
      <xdr:col>9</xdr:col>
      <xdr:colOff>306918</xdr:colOff>
      <xdr:row>27</xdr:row>
      <xdr:rowOff>158750</xdr:rowOff>
    </xdr:to>
    <xdr:graphicFrame macro="">
      <xdr:nvGraphicFramePr>
        <xdr:cNvPr id="4" name="Chart 3">
          <a:extLst>
            <a:ext uri="{FF2B5EF4-FFF2-40B4-BE49-F238E27FC236}">
              <a16:creationId xmlns:a16="http://schemas.microsoft.com/office/drawing/2014/main" id="{A7E73DFA-68BB-45E0-9182-F022D1D95D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391583</xdr:colOff>
      <xdr:row>7</xdr:row>
      <xdr:rowOff>137582</xdr:rowOff>
    </xdr:from>
    <xdr:to>
      <xdr:col>16</xdr:col>
      <xdr:colOff>645583</xdr:colOff>
      <xdr:row>17</xdr:row>
      <xdr:rowOff>169333</xdr:rowOff>
    </xdr:to>
    <xdr:graphicFrame macro="">
      <xdr:nvGraphicFramePr>
        <xdr:cNvPr id="10" name="Chart 9">
          <a:extLst>
            <a:ext uri="{FF2B5EF4-FFF2-40B4-BE49-F238E27FC236}">
              <a16:creationId xmlns:a16="http://schemas.microsoft.com/office/drawing/2014/main" id="{4EDE8F47-D731-4522-9742-2EB8B4DC6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126999</xdr:colOff>
      <xdr:row>3</xdr:row>
      <xdr:rowOff>811</xdr:rowOff>
    </xdr:from>
    <xdr:to>
      <xdr:col>2</xdr:col>
      <xdr:colOff>616515</xdr:colOff>
      <xdr:row>4</xdr:row>
      <xdr:rowOff>180665</xdr:rowOff>
    </xdr:to>
    <xdr:sp macro="" textlink="#REF!">
      <xdr:nvSpPr>
        <xdr:cNvPr id="2" name="Rectangle: Rounded Corners 1">
          <a:hlinkClick xmlns:r="http://schemas.openxmlformats.org/officeDocument/2006/relationships" r:id="rId1"/>
          <a:extLst>
            <a:ext uri="{FF2B5EF4-FFF2-40B4-BE49-F238E27FC236}">
              <a16:creationId xmlns:a16="http://schemas.microsoft.com/office/drawing/2014/main" id="{0A925108-F8E2-4E5A-ACBA-7E372155A3D7}"/>
            </a:ext>
          </a:extLst>
        </xdr:cNvPr>
        <xdr:cNvSpPr/>
      </xdr:nvSpPr>
      <xdr:spPr>
        <a:xfrm>
          <a:off x="126999" y="743761"/>
          <a:ext cx="1918266" cy="427504"/>
        </a:xfrm>
        <a:prstGeom prst="roundRect">
          <a:avLst/>
        </a:prstGeom>
        <a:solidFill>
          <a:srgbClr val="D1D3F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l-PL" sz="1100" b="0" i="0" u="none" strike="noStrike">
              <a:solidFill>
                <a:srgbClr val="000000"/>
              </a:solidFill>
              <a:latin typeface="Aptos Narrow"/>
              <a:ea typeface="+mn-ea"/>
              <a:cs typeface="+mn-cs"/>
            </a:rPr>
            <a:t>Efektywność</a:t>
          </a:r>
        </a:p>
      </xdr:txBody>
    </xdr:sp>
    <xdr:clientData/>
  </xdr:twoCellAnchor>
  <xdr:twoCellAnchor>
    <xdr:from>
      <xdr:col>0</xdr:col>
      <xdr:colOff>121335</xdr:colOff>
      <xdr:row>5</xdr:row>
      <xdr:rowOff>68295</xdr:rowOff>
    </xdr:from>
    <xdr:to>
      <xdr:col>2</xdr:col>
      <xdr:colOff>618315</xdr:colOff>
      <xdr:row>7</xdr:row>
      <xdr:rowOff>4732</xdr:rowOff>
    </xdr:to>
    <xdr:sp macro="" textlink="#REF!">
      <xdr:nvSpPr>
        <xdr:cNvPr id="3" name="Rectangle: Rounded Corners 2">
          <a:hlinkClick xmlns:r="http://schemas.openxmlformats.org/officeDocument/2006/relationships" r:id="rId2"/>
          <a:extLst>
            <a:ext uri="{FF2B5EF4-FFF2-40B4-BE49-F238E27FC236}">
              <a16:creationId xmlns:a16="http://schemas.microsoft.com/office/drawing/2014/main" id="{A69B7AFE-6E8B-46F1-A792-C436778245DF}"/>
            </a:ext>
          </a:extLst>
        </xdr:cNvPr>
        <xdr:cNvSpPr/>
      </xdr:nvSpPr>
      <xdr:spPr>
        <a:xfrm>
          <a:off x="121335" y="1306545"/>
          <a:ext cx="1925730" cy="431737"/>
        </a:xfrm>
        <a:prstGeom prst="roundRect">
          <a:avLst/>
        </a:prstGeom>
        <a:solidFill>
          <a:srgbClr val="BEBA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l-PL" sz="1100" b="0" i="0" u="none" strike="noStrike">
              <a:solidFill>
                <a:srgbClr val="000000"/>
              </a:solidFill>
              <a:latin typeface="Aptos Narrow"/>
              <a:ea typeface="+mn-ea"/>
              <a:cs typeface="+mn-cs"/>
            </a:rPr>
            <a:t>Straty</a:t>
          </a:r>
        </a:p>
      </xdr:txBody>
    </xdr:sp>
    <xdr:clientData/>
  </xdr:twoCellAnchor>
  <xdr:twoCellAnchor>
    <xdr:from>
      <xdr:col>0</xdr:col>
      <xdr:colOff>125320</xdr:colOff>
      <xdr:row>0</xdr:row>
      <xdr:rowOff>165164</xdr:rowOff>
    </xdr:from>
    <xdr:to>
      <xdr:col>2</xdr:col>
      <xdr:colOff>622300</xdr:colOff>
      <xdr:row>2</xdr:row>
      <xdr:rowOff>94256</xdr:rowOff>
    </xdr:to>
    <xdr:sp macro="" textlink="#REF!">
      <xdr:nvSpPr>
        <xdr:cNvPr id="4" name="Rectangle: Rounded Corners 3">
          <a:hlinkClick xmlns:r="http://schemas.openxmlformats.org/officeDocument/2006/relationships" r:id="rId3"/>
          <a:extLst>
            <a:ext uri="{FF2B5EF4-FFF2-40B4-BE49-F238E27FC236}">
              <a16:creationId xmlns:a16="http://schemas.microsoft.com/office/drawing/2014/main" id="{4C0AFC66-6007-45A2-91A3-A9C9D574E99F}"/>
            </a:ext>
          </a:extLst>
        </xdr:cNvPr>
        <xdr:cNvSpPr/>
      </xdr:nvSpPr>
      <xdr:spPr>
        <a:xfrm>
          <a:off x="125320" y="165164"/>
          <a:ext cx="1925730" cy="424392"/>
        </a:xfrm>
        <a:prstGeom prst="roundRect">
          <a:avLst/>
        </a:prstGeom>
        <a:solidFill>
          <a:srgbClr val="D1D3F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l-PL" sz="1100" b="0" i="0" u="none" strike="noStrike">
              <a:solidFill>
                <a:srgbClr val="000000"/>
              </a:solidFill>
              <a:latin typeface="Aptos Narrow"/>
            </a:rPr>
            <a:t>Przegląd</a:t>
          </a:r>
        </a:p>
      </xdr:txBody>
    </xdr:sp>
    <xdr:clientData/>
  </xdr:twoCellAnchor>
  <xdr:twoCellAnchor>
    <xdr:from>
      <xdr:col>25</xdr:col>
      <xdr:colOff>810380</xdr:colOff>
      <xdr:row>24</xdr:row>
      <xdr:rowOff>206374</xdr:rowOff>
    </xdr:from>
    <xdr:to>
      <xdr:col>33</xdr:col>
      <xdr:colOff>387804</xdr:colOff>
      <xdr:row>42</xdr:row>
      <xdr:rowOff>6804</xdr:rowOff>
    </xdr:to>
    <xdr:sp macro="" textlink="">
      <xdr:nvSpPr>
        <xdr:cNvPr id="5" name="Rectangle: Rounded Corners 4">
          <a:extLst>
            <a:ext uri="{FF2B5EF4-FFF2-40B4-BE49-F238E27FC236}">
              <a16:creationId xmlns:a16="http://schemas.microsoft.com/office/drawing/2014/main" id="{7E8F50FB-87D5-4739-A5E7-308B392D4F87}"/>
            </a:ext>
          </a:extLst>
        </xdr:cNvPr>
        <xdr:cNvSpPr/>
      </xdr:nvSpPr>
      <xdr:spPr>
        <a:xfrm>
          <a:off x="19736555" y="6149974"/>
          <a:ext cx="4692349" cy="3381830"/>
        </a:xfrm>
        <a:prstGeom prst="roundRect">
          <a:avLst/>
        </a:prstGeom>
        <a:solidFill>
          <a:schemeClr val="bg1">
            <a:alpha val="50196"/>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pl-PL" sz="1200">
              <a:solidFill>
                <a:schemeClr val="tx1"/>
              </a:solidFill>
            </a:rPr>
            <a:t>...</a:t>
          </a:r>
          <a:r>
            <a:rPr lang="pl-PL" sz="1200" baseline="0">
              <a:solidFill>
                <a:schemeClr val="tx1"/>
              </a:solidFill>
            </a:rPr>
            <a:t> </a:t>
          </a:r>
          <a:endParaRPr lang="pl-PL" sz="1200">
            <a:solidFill>
              <a:schemeClr val="tx1"/>
            </a:solidFill>
          </a:endParaRPr>
        </a:p>
      </xdr:txBody>
    </xdr:sp>
    <xdr:clientData/>
  </xdr:twoCellAnchor>
  <xdr:twoCellAnchor>
    <xdr:from>
      <xdr:col>3</xdr:col>
      <xdr:colOff>116416</xdr:colOff>
      <xdr:row>7</xdr:row>
      <xdr:rowOff>165100</xdr:rowOff>
    </xdr:from>
    <xdr:to>
      <xdr:col>9</xdr:col>
      <xdr:colOff>449792</xdr:colOff>
      <xdr:row>15</xdr:row>
      <xdr:rowOff>11906</xdr:rowOff>
    </xdr:to>
    <xdr:grpSp>
      <xdr:nvGrpSpPr>
        <xdr:cNvPr id="6" name="Group 5">
          <a:extLst>
            <a:ext uri="{FF2B5EF4-FFF2-40B4-BE49-F238E27FC236}">
              <a16:creationId xmlns:a16="http://schemas.microsoft.com/office/drawing/2014/main" id="{10B527DA-583A-4810-8F73-126D4C5AB3FA}"/>
            </a:ext>
          </a:extLst>
        </xdr:cNvPr>
        <xdr:cNvGrpSpPr/>
      </xdr:nvGrpSpPr>
      <xdr:grpSpPr>
        <a:xfrm>
          <a:off x="2274120" y="1865993"/>
          <a:ext cx="4648784" cy="1790683"/>
          <a:chOff x="2259542" y="1898650"/>
          <a:chExt cx="5816612" cy="958850"/>
        </a:xfrm>
      </xdr:grpSpPr>
      <xdr:sp macro="" textlink="">
        <xdr:nvSpPr>
          <xdr:cNvPr id="7" name="Rectangle: Rounded Corners 6">
            <a:extLst>
              <a:ext uri="{FF2B5EF4-FFF2-40B4-BE49-F238E27FC236}">
                <a16:creationId xmlns:a16="http://schemas.microsoft.com/office/drawing/2014/main" id="{9B9FD7D7-65BC-5A6C-5A9F-2C5736020DA7}"/>
              </a:ext>
            </a:extLst>
          </xdr:cNvPr>
          <xdr:cNvSpPr/>
        </xdr:nvSpPr>
        <xdr:spPr>
          <a:xfrm>
            <a:off x="2259542" y="1898650"/>
            <a:ext cx="5757334" cy="958850"/>
          </a:xfrm>
          <a:prstGeom prst="roundRect">
            <a:avLst/>
          </a:prstGeom>
          <a:solidFill>
            <a:srgbClr val="D1D3F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sp macro="" textlink="">
        <xdr:nvSpPr>
          <xdr:cNvPr id="8" name="TextBox 7">
            <a:extLst>
              <a:ext uri="{FF2B5EF4-FFF2-40B4-BE49-F238E27FC236}">
                <a16:creationId xmlns:a16="http://schemas.microsoft.com/office/drawing/2014/main" id="{82C29D47-ECA0-3970-A20D-DA89C5657490}"/>
              </a:ext>
            </a:extLst>
          </xdr:cNvPr>
          <xdr:cNvSpPr txBox="1"/>
        </xdr:nvSpPr>
        <xdr:spPr>
          <a:xfrm>
            <a:off x="2331519" y="1983025"/>
            <a:ext cx="5744635" cy="86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lvl="0" indent="-171450">
              <a:buFont typeface="Wingdings" panose="05000000000000000000" pitchFamily="2" charset="2"/>
              <a:buChar char="§"/>
            </a:pPr>
            <a:r>
              <a:rPr lang="pl-PL" b="1"/>
              <a:t>Wysoka kontrola strat</a:t>
            </a:r>
            <a:r>
              <a:rPr lang="pl-PL"/>
              <a:t> - tylko </a:t>
            </a:r>
            <a:r>
              <a:rPr lang="pl-PL" b="1"/>
              <a:t>5% </a:t>
            </a:r>
            <a:r>
              <a:rPr lang="pl-PL"/>
              <a:t>towaru zagrożonego przeterminowaniem trafiło do utylizacji.</a:t>
            </a:r>
            <a:endParaRPr lang="pl-PL" sz="1100" b="1">
              <a:solidFill>
                <a:schemeClr val="dk1"/>
              </a:solidFill>
              <a:effectLst/>
              <a:latin typeface="+mn-lt"/>
              <a:ea typeface="+mn-ea"/>
              <a:cs typeface="+mn-cs"/>
            </a:endParaRPr>
          </a:p>
          <a:p>
            <a:pPr marL="171450" lvl="0" indent="-171450">
              <a:buFont typeface="Wingdings" panose="05000000000000000000" pitchFamily="2" charset="2"/>
              <a:buChar char="§"/>
            </a:pPr>
            <a:r>
              <a:rPr lang="pl-PL" sz="1100" b="1">
                <a:solidFill>
                  <a:schemeClr val="dk1"/>
                </a:solidFill>
                <a:effectLst/>
                <a:latin typeface="+mn-lt"/>
                <a:ea typeface="+mn-ea"/>
                <a:cs typeface="+mn-cs"/>
              </a:rPr>
              <a:t>Słodycze i dania instant głównym źródłem</a:t>
            </a:r>
            <a:r>
              <a:rPr lang="pl-PL" sz="1100" b="1" baseline="0">
                <a:solidFill>
                  <a:schemeClr val="dk1"/>
                </a:solidFill>
                <a:effectLst/>
                <a:latin typeface="+mn-lt"/>
                <a:ea typeface="+mn-ea"/>
                <a:cs typeface="+mn-cs"/>
              </a:rPr>
              <a:t> strat</a:t>
            </a:r>
            <a:r>
              <a:rPr lang="pl-PL" sz="1100">
                <a:solidFill>
                  <a:schemeClr val="dk1"/>
                </a:solidFill>
                <a:effectLst/>
                <a:latin typeface="+mn-lt"/>
                <a:ea typeface="+mn-ea"/>
                <a:cs typeface="+mn-cs"/>
              </a:rPr>
              <a:t> - to w tych kategoriach koncentruje się większość utylizowanego towaru.</a:t>
            </a:r>
          </a:p>
          <a:p>
            <a:pPr marL="171450" lvl="0" indent="-171450">
              <a:buFont typeface="Wingdings" panose="05000000000000000000" pitchFamily="2" charset="2"/>
              <a:buChar char="§"/>
            </a:pPr>
            <a:r>
              <a:rPr lang="pl-PL" b="1"/>
              <a:t>Główne źródła strat</a:t>
            </a:r>
            <a:r>
              <a:rPr lang="pl-PL" b="1" baseline="0"/>
              <a:t> </a:t>
            </a:r>
            <a:r>
              <a:rPr lang="pl-PL" b="0" baseline="0"/>
              <a:t>-</a:t>
            </a:r>
            <a:r>
              <a:rPr lang="pl-PL"/>
              <a:t> </a:t>
            </a:r>
            <a:r>
              <a:rPr lang="pl-PL" b="1"/>
              <a:t>72% </a:t>
            </a:r>
            <a:r>
              <a:rPr lang="pl-PL"/>
              <a:t>strat stanowi słaba sprzedaż, natomiast </a:t>
            </a:r>
            <a:r>
              <a:rPr lang="pl-PL" b="1"/>
              <a:t>28% </a:t>
            </a:r>
            <a:r>
              <a:rPr lang="pl-PL"/>
              <a:t>to brak wdrożenia dedykowanych przecen.</a:t>
            </a:r>
          </a:p>
          <a:p>
            <a:pPr marL="171450" lvl="0" indent="-171450">
              <a:buFont typeface="Wingdings" panose="05000000000000000000" pitchFamily="2" charset="2"/>
              <a:buChar char="§"/>
            </a:pPr>
            <a:r>
              <a:rPr lang="pl-PL" b="1"/>
              <a:t>Nieregularny charakter strat </a:t>
            </a:r>
            <a:r>
              <a:rPr lang="pl-PL" b="0"/>
              <a:t>-</a:t>
            </a:r>
            <a:r>
              <a:rPr lang="pl-PL" b="1" baseline="0"/>
              <a:t> </a:t>
            </a:r>
            <a:r>
              <a:rPr lang="pl-PL"/>
              <a:t>straty generowane są punktowo przez pojedyncze partie asortymentu.</a:t>
            </a:r>
            <a:endParaRPr lang="pl-PL" sz="1100">
              <a:solidFill>
                <a:schemeClr val="dk1"/>
              </a:solidFill>
              <a:effectLst/>
              <a:latin typeface="+mn-lt"/>
              <a:ea typeface="+mn-ea"/>
              <a:cs typeface="+mn-cs"/>
            </a:endParaRPr>
          </a:p>
        </xdr:txBody>
      </xdr:sp>
    </xdr:grpSp>
    <xdr:clientData/>
  </xdr:twoCellAnchor>
  <xdr:twoCellAnchor>
    <xdr:from>
      <xdr:col>0</xdr:col>
      <xdr:colOff>137583</xdr:colOff>
      <xdr:row>8</xdr:row>
      <xdr:rowOff>42333</xdr:rowOff>
    </xdr:from>
    <xdr:to>
      <xdr:col>2</xdr:col>
      <xdr:colOff>624417</xdr:colOff>
      <xdr:row>12</xdr:row>
      <xdr:rowOff>185208</xdr:rowOff>
    </xdr:to>
    <xdr:grpSp>
      <xdr:nvGrpSpPr>
        <xdr:cNvPr id="12" name="Group 11">
          <a:extLst>
            <a:ext uri="{FF2B5EF4-FFF2-40B4-BE49-F238E27FC236}">
              <a16:creationId xmlns:a16="http://schemas.microsoft.com/office/drawing/2014/main" id="{56E835D3-E6F2-4A89-A507-CA7FA9DF0C22}"/>
            </a:ext>
          </a:extLst>
        </xdr:cNvPr>
        <xdr:cNvGrpSpPr/>
      </xdr:nvGrpSpPr>
      <xdr:grpSpPr>
        <a:xfrm>
          <a:off x="137583" y="1986211"/>
          <a:ext cx="1925303" cy="1114813"/>
          <a:chOff x="198653" y="1947333"/>
          <a:chExt cx="1934197" cy="1116542"/>
        </a:xfrm>
      </xdr:grpSpPr>
      <xdr:sp macro="" textlink="#REF!">
        <xdr:nvSpPr>
          <xdr:cNvPr id="13" name="Rectangle: Rounded Corners 12">
            <a:extLst>
              <a:ext uri="{FF2B5EF4-FFF2-40B4-BE49-F238E27FC236}">
                <a16:creationId xmlns:a16="http://schemas.microsoft.com/office/drawing/2014/main" id="{1C1F1D43-66C1-DDD5-4657-A2D8AF48B81B}"/>
              </a:ext>
            </a:extLst>
          </xdr:cNvPr>
          <xdr:cNvSpPr/>
        </xdr:nvSpPr>
        <xdr:spPr>
          <a:xfrm>
            <a:off x="198653" y="1947333"/>
            <a:ext cx="1934197" cy="1116542"/>
          </a:xfrm>
          <a:prstGeom prst="roundRect">
            <a:avLst/>
          </a:prstGeom>
          <a:solidFill>
            <a:srgbClr val="BEBA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pl-PL" sz="1100" b="0" i="0" u="none" strike="noStrike">
              <a:solidFill>
                <a:srgbClr val="000000"/>
              </a:solidFill>
              <a:latin typeface="Aptos Narrow"/>
            </a:endParaRPr>
          </a:p>
        </xdr:txBody>
      </xdr:sp>
      <mc:AlternateContent xmlns:mc="http://schemas.openxmlformats.org/markup-compatibility/2006" xmlns:a14="http://schemas.microsoft.com/office/drawing/2010/main">
        <mc:Choice Requires="a14">
          <xdr:graphicFrame macro="">
            <xdr:nvGraphicFramePr>
              <xdr:cNvPr id="14" name="Sklep 6">
                <a:extLst>
                  <a:ext uri="{FF2B5EF4-FFF2-40B4-BE49-F238E27FC236}">
                    <a16:creationId xmlns:a16="http://schemas.microsoft.com/office/drawing/2014/main" id="{241605F3-DCDC-0735-0F20-2743BFD3284A}"/>
                  </a:ext>
                </a:extLst>
              </xdr:cNvPr>
              <xdr:cNvGraphicFramePr/>
            </xdr:nvGraphicFramePr>
            <xdr:xfrm>
              <a:off x="304202" y="2034116"/>
              <a:ext cx="1735603" cy="954618"/>
            </xdr:xfrm>
            <a:graphic>
              <a:graphicData uri="http://schemas.microsoft.com/office/drawing/2010/slicer">
                <sle:slicer xmlns:sle="http://schemas.microsoft.com/office/drawing/2010/slicer" name="Sklep 6"/>
              </a:graphicData>
            </a:graphic>
          </xdr:graphicFrame>
        </mc:Choice>
        <mc:Fallback xmlns="">
          <xdr:sp macro="" textlink="">
            <xdr:nvSpPr>
              <xdr:cNvPr id="0" name=""/>
              <xdr:cNvSpPr>
                <a:spLocks noTextEdit="1"/>
              </xdr:cNvSpPr>
            </xdr:nvSpPr>
            <xdr:spPr>
              <a:xfrm>
                <a:off x="242116" y="2131422"/>
                <a:ext cx="1718901" cy="977239"/>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127000</xdr:colOff>
      <xdr:row>13</xdr:row>
      <xdr:rowOff>132292</xdr:rowOff>
    </xdr:from>
    <xdr:to>
      <xdr:col>2</xdr:col>
      <xdr:colOff>624417</xdr:colOff>
      <xdr:row>18</xdr:row>
      <xdr:rowOff>94192</xdr:rowOff>
    </xdr:to>
    <xdr:grpSp>
      <xdr:nvGrpSpPr>
        <xdr:cNvPr id="15" name="Group 14">
          <a:extLst>
            <a:ext uri="{FF2B5EF4-FFF2-40B4-BE49-F238E27FC236}">
              <a16:creationId xmlns:a16="http://schemas.microsoft.com/office/drawing/2014/main" id="{85C1007C-40A0-42A4-93C2-A37910938A55}"/>
            </a:ext>
          </a:extLst>
        </xdr:cNvPr>
        <xdr:cNvGrpSpPr/>
      </xdr:nvGrpSpPr>
      <xdr:grpSpPr>
        <a:xfrm>
          <a:off x="127000" y="3291093"/>
          <a:ext cx="1935886" cy="1176823"/>
          <a:chOff x="152836" y="3307292"/>
          <a:chExt cx="1924672" cy="1178983"/>
        </a:xfrm>
      </xdr:grpSpPr>
      <xdr:sp macro="" textlink="#REF!">
        <xdr:nvSpPr>
          <xdr:cNvPr id="16" name="Rectangle: Rounded Corners 15">
            <a:extLst>
              <a:ext uri="{FF2B5EF4-FFF2-40B4-BE49-F238E27FC236}">
                <a16:creationId xmlns:a16="http://schemas.microsoft.com/office/drawing/2014/main" id="{6E1AF3E1-5461-CC73-5113-5858AD9942C8}"/>
              </a:ext>
            </a:extLst>
          </xdr:cNvPr>
          <xdr:cNvSpPr/>
        </xdr:nvSpPr>
        <xdr:spPr>
          <a:xfrm>
            <a:off x="152836" y="3307292"/>
            <a:ext cx="1924672" cy="1178983"/>
          </a:xfrm>
          <a:prstGeom prst="roundRect">
            <a:avLst/>
          </a:prstGeom>
          <a:solidFill>
            <a:srgbClr val="BEBA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pl-PL" sz="1100" b="0" i="0" u="none" strike="noStrike">
              <a:solidFill>
                <a:srgbClr val="000000"/>
              </a:solidFill>
              <a:latin typeface="Aptos Narrow"/>
            </a:endParaRPr>
          </a:p>
        </xdr:txBody>
      </xdr:sp>
      <mc:AlternateContent xmlns:mc="http://schemas.openxmlformats.org/markup-compatibility/2006" xmlns:a14="http://schemas.microsoft.com/office/drawing/2010/main">
        <mc:Choice Requires="a14">
          <xdr:graphicFrame macro="">
            <xdr:nvGraphicFramePr>
              <xdr:cNvPr id="17" name="Marka 6">
                <a:extLst>
                  <a:ext uri="{FF2B5EF4-FFF2-40B4-BE49-F238E27FC236}">
                    <a16:creationId xmlns:a16="http://schemas.microsoft.com/office/drawing/2014/main" id="{629CEAB8-B4DE-BB62-0BEC-718F47DEB841}"/>
                  </a:ext>
                </a:extLst>
              </xdr:cNvPr>
              <xdr:cNvGraphicFramePr/>
            </xdr:nvGraphicFramePr>
            <xdr:xfrm>
              <a:off x="216536" y="3384550"/>
              <a:ext cx="1820767" cy="1022349"/>
            </xdr:xfrm>
            <a:graphic>
              <a:graphicData uri="http://schemas.microsoft.com/office/drawing/2010/slicer">
                <sle:slicer xmlns:sle="http://schemas.microsoft.com/office/drawing/2010/slicer" name="Marka 6"/>
              </a:graphicData>
            </a:graphic>
          </xdr:graphicFrame>
        </mc:Choice>
        <mc:Fallback xmlns="">
          <xdr:sp macro="" textlink="">
            <xdr:nvSpPr>
              <xdr:cNvPr id="0" name=""/>
              <xdr:cNvSpPr>
                <a:spLocks noTextEdit="1"/>
              </xdr:cNvSpPr>
            </xdr:nvSpPr>
            <xdr:spPr>
              <a:xfrm>
                <a:off x="190749" y="3462123"/>
                <a:ext cx="1822181" cy="1051029"/>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112183</xdr:colOff>
      <xdr:row>19</xdr:row>
      <xdr:rowOff>95251</xdr:rowOff>
    </xdr:from>
    <xdr:to>
      <xdr:col>2</xdr:col>
      <xdr:colOff>617008</xdr:colOff>
      <xdr:row>26</xdr:row>
      <xdr:rowOff>170393</xdr:rowOff>
    </xdr:to>
    <xdr:grpSp>
      <xdr:nvGrpSpPr>
        <xdr:cNvPr id="18" name="Group 17">
          <a:extLst>
            <a:ext uri="{FF2B5EF4-FFF2-40B4-BE49-F238E27FC236}">
              <a16:creationId xmlns:a16="http://schemas.microsoft.com/office/drawing/2014/main" id="{CAB01251-9484-4D52-8581-EB01F48C5EDF}"/>
            </a:ext>
          </a:extLst>
        </xdr:cNvPr>
        <xdr:cNvGrpSpPr/>
      </xdr:nvGrpSpPr>
      <xdr:grpSpPr>
        <a:xfrm>
          <a:off x="112183" y="4711960"/>
          <a:ext cx="1943294" cy="1776035"/>
          <a:chOff x="133349" y="4635501"/>
          <a:chExt cx="1944158" cy="1779058"/>
        </a:xfrm>
      </xdr:grpSpPr>
      <xdr:sp macro="" textlink="#REF!">
        <xdr:nvSpPr>
          <xdr:cNvPr id="19" name="Rectangle: Rounded Corners 18">
            <a:extLst>
              <a:ext uri="{FF2B5EF4-FFF2-40B4-BE49-F238E27FC236}">
                <a16:creationId xmlns:a16="http://schemas.microsoft.com/office/drawing/2014/main" id="{C0C0D438-D0AE-0DB4-3292-8F8A502F7B56}"/>
              </a:ext>
            </a:extLst>
          </xdr:cNvPr>
          <xdr:cNvSpPr/>
        </xdr:nvSpPr>
        <xdr:spPr>
          <a:xfrm>
            <a:off x="133349" y="4635501"/>
            <a:ext cx="1944158" cy="1779058"/>
          </a:xfrm>
          <a:prstGeom prst="roundRect">
            <a:avLst/>
          </a:prstGeom>
          <a:solidFill>
            <a:srgbClr val="BEBA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pl-PL" sz="1100" b="0" i="0" u="none" strike="noStrike">
              <a:solidFill>
                <a:srgbClr val="000000"/>
              </a:solidFill>
              <a:latin typeface="Aptos Narrow"/>
            </a:endParaRPr>
          </a:p>
        </xdr:txBody>
      </xdr:sp>
      <mc:AlternateContent xmlns:mc="http://schemas.openxmlformats.org/markup-compatibility/2006" xmlns:a14="http://schemas.microsoft.com/office/drawing/2010/main">
        <mc:Choice Requires="a14">
          <xdr:graphicFrame macro="">
            <xdr:nvGraphicFramePr>
              <xdr:cNvPr id="20" name="Numer Miesiąca 4">
                <a:extLst>
                  <a:ext uri="{FF2B5EF4-FFF2-40B4-BE49-F238E27FC236}">
                    <a16:creationId xmlns:a16="http://schemas.microsoft.com/office/drawing/2014/main" id="{2A4923E6-E573-ACF9-F7DC-E56F74054DF4}"/>
                  </a:ext>
                </a:extLst>
              </xdr:cNvPr>
              <xdr:cNvGraphicFramePr/>
            </xdr:nvGraphicFramePr>
            <xdr:xfrm>
              <a:off x="209117" y="4769287"/>
              <a:ext cx="1799600" cy="1524621"/>
            </xdr:xfrm>
            <a:graphic>
              <a:graphicData uri="http://schemas.microsoft.com/office/drawing/2010/slicer">
                <sle:slicer xmlns:sle="http://schemas.microsoft.com/office/drawing/2010/slicer" name="Numer Miesiąca 4"/>
              </a:graphicData>
            </a:graphic>
          </xdr:graphicFrame>
        </mc:Choice>
        <mc:Fallback xmlns="">
          <xdr:sp macro="" textlink="">
            <xdr:nvSpPr>
              <xdr:cNvPr id="0" name=""/>
              <xdr:cNvSpPr>
                <a:spLocks noTextEdit="1"/>
              </xdr:cNvSpPr>
            </xdr:nvSpPr>
            <xdr:spPr>
              <a:xfrm>
                <a:off x="187539" y="4983113"/>
                <a:ext cx="1789804" cy="1564302"/>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xdr:col>
      <xdr:colOff>107157</xdr:colOff>
      <xdr:row>2</xdr:row>
      <xdr:rowOff>230982</xdr:rowOff>
    </xdr:from>
    <xdr:to>
      <xdr:col>7</xdr:col>
      <xdr:colOff>347399</xdr:colOff>
      <xdr:row>7</xdr:row>
      <xdr:rowOff>11644</xdr:rowOff>
    </xdr:to>
    <xdr:grpSp>
      <xdr:nvGrpSpPr>
        <xdr:cNvPr id="21" name="Group 20">
          <a:extLst>
            <a:ext uri="{FF2B5EF4-FFF2-40B4-BE49-F238E27FC236}">
              <a16:creationId xmlns:a16="http://schemas.microsoft.com/office/drawing/2014/main" id="{4F4CD735-3455-4035-A356-C9AC843FDB8A}"/>
            </a:ext>
          </a:extLst>
        </xdr:cNvPr>
        <xdr:cNvGrpSpPr/>
      </xdr:nvGrpSpPr>
      <xdr:grpSpPr>
        <a:xfrm>
          <a:off x="2264861" y="716951"/>
          <a:ext cx="3117181" cy="995586"/>
          <a:chOff x="2295525" y="691091"/>
          <a:chExt cx="3076575" cy="1051984"/>
        </a:xfrm>
        <a:solidFill>
          <a:srgbClr val="6C0000"/>
        </a:solidFill>
      </xdr:grpSpPr>
      <xdr:sp macro="" textlink="">
        <xdr:nvSpPr>
          <xdr:cNvPr id="22" name="Rectangle: Rounded Corners 21">
            <a:extLst>
              <a:ext uri="{FF2B5EF4-FFF2-40B4-BE49-F238E27FC236}">
                <a16:creationId xmlns:a16="http://schemas.microsoft.com/office/drawing/2014/main" id="{332C854D-39AF-76FB-9A99-321C479566D2}"/>
              </a:ext>
            </a:extLst>
          </xdr:cNvPr>
          <xdr:cNvSpPr/>
        </xdr:nvSpPr>
        <xdr:spPr>
          <a:xfrm>
            <a:off x="2295525" y="691091"/>
            <a:ext cx="3076575" cy="1051984"/>
          </a:xfrm>
          <a:prstGeom prst="roundRect">
            <a:avLst/>
          </a:prstGeom>
          <a:grpFill/>
          <a:ln w="50800" cmpd="sng">
            <a:solidFill>
              <a:srgbClr val="6C0000"/>
            </a:solidFill>
            <a:extLst>
              <a:ext uri="{C807C97D-BFC1-408E-A445-0C87EB9F89A2}">
                <ask:lineSketchStyleProps xmlns:ask="http://schemas.microsoft.com/office/drawing/2018/sketchyshapes" sd="1219033472">
                  <a:custGeom>
                    <a:avLst/>
                    <a:gdLst>
                      <a:gd name="csX0" fmla="*/ 0 w 3097742"/>
                      <a:gd name="csY0" fmla="*/ 171806 h 1030818"/>
                      <a:gd name="csX1" fmla="*/ 171806 w 3097742"/>
                      <a:gd name="csY1" fmla="*/ 0 h 1030818"/>
                      <a:gd name="csX2" fmla="*/ 2925936 w 3097742"/>
                      <a:gd name="csY2" fmla="*/ 0 h 1030818"/>
                      <a:gd name="csX3" fmla="*/ 3097742 w 3097742"/>
                      <a:gd name="csY3" fmla="*/ 171806 h 1030818"/>
                      <a:gd name="csX4" fmla="*/ 3097742 w 3097742"/>
                      <a:gd name="csY4" fmla="*/ 859012 h 1030818"/>
                      <a:gd name="csX5" fmla="*/ 2925936 w 3097742"/>
                      <a:gd name="csY5" fmla="*/ 1030818 h 1030818"/>
                      <a:gd name="csX6" fmla="*/ 171806 w 3097742"/>
                      <a:gd name="csY6" fmla="*/ 1030818 h 1030818"/>
                      <a:gd name="csX7" fmla="*/ 0 w 3097742"/>
                      <a:gd name="csY7" fmla="*/ 859012 h 1030818"/>
                      <a:gd name="csX8" fmla="*/ 0 w 3097742"/>
                      <a:gd name="csY8" fmla="*/ 171806 h 103081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097742" h="1030818" extrusionOk="0">
                        <a:moveTo>
                          <a:pt x="0" y="171806"/>
                        </a:moveTo>
                        <a:cubicBezTo>
                          <a:pt x="-15207" y="67540"/>
                          <a:pt x="66817" y="3792"/>
                          <a:pt x="171806" y="0"/>
                        </a:cubicBezTo>
                        <a:cubicBezTo>
                          <a:pt x="1320466" y="132882"/>
                          <a:pt x="2110449" y="-84951"/>
                          <a:pt x="2925936" y="0"/>
                        </a:cubicBezTo>
                        <a:cubicBezTo>
                          <a:pt x="3012278" y="8344"/>
                          <a:pt x="3095251" y="90686"/>
                          <a:pt x="3097742" y="171806"/>
                        </a:cubicBezTo>
                        <a:cubicBezTo>
                          <a:pt x="3107726" y="482413"/>
                          <a:pt x="3148860" y="679687"/>
                          <a:pt x="3097742" y="859012"/>
                        </a:cubicBezTo>
                        <a:cubicBezTo>
                          <a:pt x="3114129" y="955842"/>
                          <a:pt x="3023854" y="1024579"/>
                          <a:pt x="2925936" y="1030818"/>
                        </a:cubicBezTo>
                        <a:cubicBezTo>
                          <a:pt x="1783982" y="1118457"/>
                          <a:pt x="709631" y="958139"/>
                          <a:pt x="171806" y="1030818"/>
                        </a:cubicBezTo>
                        <a:cubicBezTo>
                          <a:pt x="75060" y="1013078"/>
                          <a:pt x="-2271" y="957054"/>
                          <a:pt x="0" y="859012"/>
                        </a:cubicBezTo>
                        <a:cubicBezTo>
                          <a:pt x="6011" y="747861"/>
                          <a:pt x="19252" y="508834"/>
                          <a:pt x="0" y="171806"/>
                        </a:cubicBezTo>
                        <a:close/>
                      </a:path>
                    </a:pathLst>
                  </a:custGeom>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endParaRPr lang="en-US"/>
          </a:p>
        </xdr:txBody>
      </xdr:sp>
      <xdr:sp macro="" textlink="">
        <xdr:nvSpPr>
          <xdr:cNvPr id="23" name="Rectangle: Rounded Corners 22">
            <a:extLst>
              <a:ext uri="{FF2B5EF4-FFF2-40B4-BE49-F238E27FC236}">
                <a16:creationId xmlns:a16="http://schemas.microsoft.com/office/drawing/2014/main" id="{F4EFFD1A-80D6-C814-1388-BFAE5F47C341}"/>
              </a:ext>
            </a:extLst>
          </xdr:cNvPr>
          <xdr:cNvSpPr/>
        </xdr:nvSpPr>
        <xdr:spPr>
          <a:xfrm>
            <a:off x="2305050" y="809625"/>
            <a:ext cx="3000375" cy="31432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pl-PL" sz="1600" b="1" i="0" u="none" strike="noStrike">
                <a:solidFill>
                  <a:schemeClr val="bg1">
                    <a:lumMod val="85000"/>
                  </a:schemeClr>
                </a:solidFill>
                <a:latin typeface="Aptos Narrow"/>
              </a:rPr>
              <a:t>Łączna strata rzeczywista</a:t>
            </a:r>
          </a:p>
        </xdr:txBody>
      </xdr:sp>
      <xdr:sp macro="" textlink="'Tabele przestawne'!J56">
        <xdr:nvSpPr>
          <xdr:cNvPr id="24" name="Rectangle: Rounded Corners 23">
            <a:extLst>
              <a:ext uri="{FF2B5EF4-FFF2-40B4-BE49-F238E27FC236}">
                <a16:creationId xmlns:a16="http://schemas.microsoft.com/office/drawing/2014/main" id="{12BBAA67-FE9E-105E-DEE8-C282F8E62842}"/>
              </a:ext>
            </a:extLst>
          </xdr:cNvPr>
          <xdr:cNvSpPr/>
        </xdr:nvSpPr>
        <xdr:spPr>
          <a:xfrm>
            <a:off x="2310709" y="1200150"/>
            <a:ext cx="3036681" cy="3429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lvl="0" algn="ctr"/>
            <a:fld id="{9591D532-FF3E-4AB8-82EE-DE5E8E61455A}" type="TxLink">
              <a:rPr lang="en-US" sz="1800" b="1" i="0" u="none" strike="noStrike">
                <a:solidFill>
                  <a:schemeClr val="bg1">
                    <a:lumMod val="85000"/>
                  </a:schemeClr>
                </a:solidFill>
                <a:latin typeface="Aptos Narrow"/>
              </a:rPr>
              <a:pPr lvl="0" algn="ctr"/>
              <a:t> 80 zł </a:t>
            </a:fld>
            <a:endParaRPr lang="pl-PL" sz="1800" b="1">
              <a:solidFill>
                <a:schemeClr val="bg1">
                  <a:lumMod val="85000"/>
                </a:schemeClr>
              </a:solidFill>
            </a:endParaRPr>
          </a:p>
        </xdr:txBody>
      </xdr:sp>
    </xdr:grpSp>
    <xdr:clientData/>
  </xdr:twoCellAnchor>
  <xdr:twoCellAnchor>
    <xdr:from>
      <xdr:col>7</xdr:col>
      <xdr:colOff>614099</xdr:colOff>
      <xdr:row>2</xdr:row>
      <xdr:rowOff>230982</xdr:rowOff>
    </xdr:from>
    <xdr:to>
      <xdr:col>12</xdr:col>
      <xdr:colOff>145257</xdr:colOff>
      <xdr:row>7</xdr:row>
      <xdr:rowOff>11644</xdr:rowOff>
    </xdr:to>
    <xdr:grpSp>
      <xdr:nvGrpSpPr>
        <xdr:cNvPr id="25" name="Group 24">
          <a:extLst>
            <a:ext uri="{FF2B5EF4-FFF2-40B4-BE49-F238E27FC236}">
              <a16:creationId xmlns:a16="http://schemas.microsoft.com/office/drawing/2014/main" id="{B3B0600A-CD86-455F-BDE1-33321543070E}"/>
            </a:ext>
          </a:extLst>
        </xdr:cNvPr>
        <xdr:cNvGrpSpPr/>
      </xdr:nvGrpSpPr>
      <xdr:grpSpPr>
        <a:xfrm>
          <a:off x="5648742" y="716951"/>
          <a:ext cx="3127331" cy="995586"/>
          <a:chOff x="2295525" y="691091"/>
          <a:chExt cx="3076575" cy="1051984"/>
        </a:xfrm>
        <a:noFill/>
      </xdr:grpSpPr>
      <xdr:sp macro="" textlink="">
        <xdr:nvSpPr>
          <xdr:cNvPr id="26" name="Rectangle: Rounded Corners 25">
            <a:extLst>
              <a:ext uri="{FF2B5EF4-FFF2-40B4-BE49-F238E27FC236}">
                <a16:creationId xmlns:a16="http://schemas.microsoft.com/office/drawing/2014/main" id="{804EA5E5-BE5A-8990-DE97-5B6D6567ED9B}"/>
              </a:ext>
            </a:extLst>
          </xdr:cNvPr>
          <xdr:cNvSpPr/>
        </xdr:nvSpPr>
        <xdr:spPr>
          <a:xfrm>
            <a:off x="2295525" y="691091"/>
            <a:ext cx="3076575" cy="1051984"/>
          </a:xfrm>
          <a:prstGeom prst="roundRect">
            <a:avLst/>
          </a:prstGeom>
          <a:grpFill/>
          <a:ln w="31750">
            <a:solidFill>
              <a:srgbClr val="6C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endParaRPr lang="en-US"/>
          </a:p>
        </xdr:txBody>
      </xdr:sp>
      <xdr:sp macro="" textlink="">
        <xdr:nvSpPr>
          <xdr:cNvPr id="27" name="Rectangle: Rounded Corners 26">
            <a:extLst>
              <a:ext uri="{FF2B5EF4-FFF2-40B4-BE49-F238E27FC236}">
                <a16:creationId xmlns:a16="http://schemas.microsoft.com/office/drawing/2014/main" id="{04C3854D-5CC2-5A52-A532-D0E1F0F3B108}"/>
              </a:ext>
            </a:extLst>
          </xdr:cNvPr>
          <xdr:cNvSpPr/>
        </xdr:nvSpPr>
        <xdr:spPr>
          <a:xfrm>
            <a:off x="2305050" y="809625"/>
            <a:ext cx="3000375" cy="31432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pl-PL" sz="1600" b="0" i="0" u="none" strike="noStrike">
                <a:solidFill>
                  <a:srgbClr val="000000"/>
                </a:solidFill>
                <a:latin typeface="Aptos Narrow"/>
              </a:rPr>
              <a:t>Wskaźnik</a:t>
            </a:r>
            <a:r>
              <a:rPr lang="pl-PL" sz="1600" b="0" i="0" u="none" strike="noStrike" baseline="0">
                <a:solidFill>
                  <a:srgbClr val="000000"/>
                </a:solidFill>
                <a:latin typeface="Aptos Narrow"/>
              </a:rPr>
              <a:t> strat</a:t>
            </a:r>
            <a:endParaRPr lang="pl-PL" sz="1600" b="0" i="0" u="none" strike="noStrike">
              <a:solidFill>
                <a:srgbClr val="000000"/>
              </a:solidFill>
              <a:latin typeface="Aptos Narrow"/>
            </a:endParaRPr>
          </a:p>
        </xdr:txBody>
      </xdr:sp>
      <xdr:sp macro="" textlink="'Tabele przestawne'!J68">
        <xdr:nvSpPr>
          <xdr:cNvPr id="28" name="Rectangle: Rounded Corners 27">
            <a:extLst>
              <a:ext uri="{FF2B5EF4-FFF2-40B4-BE49-F238E27FC236}">
                <a16:creationId xmlns:a16="http://schemas.microsoft.com/office/drawing/2014/main" id="{A7999749-817A-ABF6-6D98-B53EAFB2B408}"/>
              </a:ext>
            </a:extLst>
          </xdr:cNvPr>
          <xdr:cNvSpPr/>
        </xdr:nvSpPr>
        <xdr:spPr>
          <a:xfrm>
            <a:off x="2295525" y="1200150"/>
            <a:ext cx="3067049" cy="3429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lvl="0" algn="ctr"/>
            <a:fld id="{5D589E23-35F9-453D-82C3-69178E75D691}" type="TxLink">
              <a:rPr lang="en-US" sz="1800" b="1" i="0" u="none" strike="noStrike">
                <a:solidFill>
                  <a:srgbClr val="000000"/>
                </a:solidFill>
                <a:latin typeface="Aptos Narrow"/>
              </a:rPr>
              <a:pPr lvl="0" algn="ctr"/>
              <a:t>5%</a:t>
            </a:fld>
            <a:endParaRPr lang="pl-PL" sz="1800" b="1"/>
          </a:p>
        </xdr:txBody>
      </xdr:sp>
    </xdr:grpSp>
    <xdr:clientData/>
  </xdr:twoCellAnchor>
  <xdr:twoCellAnchor>
    <xdr:from>
      <xdr:col>12</xdr:col>
      <xdr:colOff>354807</xdr:colOff>
      <xdr:row>2</xdr:row>
      <xdr:rowOff>202407</xdr:rowOff>
    </xdr:from>
    <xdr:to>
      <xdr:col>16</xdr:col>
      <xdr:colOff>595049</xdr:colOff>
      <xdr:row>6</xdr:row>
      <xdr:rowOff>237333</xdr:rowOff>
    </xdr:to>
    <xdr:grpSp>
      <xdr:nvGrpSpPr>
        <xdr:cNvPr id="29" name="Group 28">
          <a:extLst>
            <a:ext uri="{FF2B5EF4-FFF2-40B4-BE49-F238E27FC236}">
              <a16:creationId xmlns:a16="http://schemas.microsoft.com/office/drawing/2014/main" id="{65F60D34-3A95-454C-9987-82D717C05F28}"/>
            </a:ext>
          </a:extLst>
        </xdr:cNvPr>
        <xdr:cNvGrpSpPr/>
      </xdr:nvGrpSpPr>
      <xdr:grpSpPr>
        <a:xfrm>
          <a:off x="8985623" y="688376"/>
          <a:ext cx="3117181" cy="1006865"/>
          <a:chOff x="2295525" y="691091"/>
          <a:chExt cx="3076575" cy="1051984"/>
        </a:xfrm>
        <a:noFill/>
      </xdr:grpSpPr>
      <xdr:sp macro="" textlink="">
        <xdr:nvSpPr>
          <xdr:cNvPr id="30" name="Rectangle: Rounded Corners 29">
            <a:extLst>
              <a:ext uri="{FF2B5EF4-FFF2-40B4-BE49-F238E27FC236}">
                <a16:creationId xmlns:a16="http://schemas.microsoft.com/office/drawing/2014/main" id="{E1575EC9-738F-8AB8-B510-4F22C26BD77A}"/>
              </a:ext>
            </a:extLst>
          </xdr:cNvPr>
          <xdr:cNvSpPr/>
        </xdr:nvSpPr>
        <xdr:spPr>
          <a:xfrm>
            <a:off x="2295525" y="691091"/>
            <a:ext cx="3076575" cy="1051984"/>
          </a:xfrm>
          <a:prstGeom prst="roundRect">
            <a:avLst/>
          </a:prstGeom>
          <a:grpFill/>
          <a:ln w="31750">
            <a:solidFill>
              <a:srgbClr val="6C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endParaRPr lang="en-US"/>
          </a:p>
        </xdr:txBody>
      </xdr:sp>
      <xdr:sp macro="" textlink="">
        <xdr:nvSpPr>
          <xdr:cNvPr id="31" name="Rectangle: Rounded Corners 30">
            <a:extLst>
              <a:ext uri="{FF2B5EF4-FFF2-40B4-BE49-F238E27FC236}">
                <a16:creationId xmlns:a16="http://schemas.microsoft.com/office/drawing/2014/main" id="{DE81E042-E3EC-5F06-EEAD-F9FCB2F7DC18}"/>
              </a:ext>
            </a:extLst>
          </xdr:cNvPr>
          <xdr:cNvSpPr/>
        </xdr:nvSpPr>
        <xdr:spPr>
          <a:xfrm>
            <a:off x="2305050" y="809625"/>
            <a:ext cx="3000375" cy="31432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pl-PL" sz="1600" b="0" i="0" u="none" strike="noStrike">
                <a:solidFill>
                  <a:srgbClr val="000000"/>
                </a:solidFill>
                <a:latin typeface="Aptos Narrow"/>
              </a:rPr>
              <a:t>Wolumen strat</a:t>
            </a:r>
          </a:p>
        </xdr:txBody>
      </xdr:sp>
      <xdr:sp macro="" textlink="'Tabele przestawne'!J77">
        <xdr:nvSpPr>
          <xdr:cNvPr id="32" name="Rectangle: Rounded Corners 31">
            <a:extLst>
              <a:ext uri="{FF2B5EF4-FFF2-40B4-BE49-F238E27FC236}">
                <a16:creationId xmlns:a16="http://schemas.microsoft.com/office/drawing/2014/main" id="{04A43969-F029-7E1C-929C-C381FED92A89}"/>
              </a:ext>
            </a:extLst>
          </xdr:cNvPr>
          <xdr:cNvSpPr/>
        </xdr:nvSpPr>
        <xdr:spPr>
          <a:xfrm>
            <a:off x="2295525" y="1200150"/>
            <a:ext cx="3067049" cy="3429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lvl="0" algn="ctr"/>
            <a:fld id="{7920774C-78AE-4CEB-AAD3-8A4D589727FF}" type="TxLink">
              <a:rPr lang="en-US" sz="1800" b="1" i="0" u="none" strike="noStrike">
                <a:solidFill>
                  <a:srgbClr val="000000"/>
                </a:solidFill>
                <a:latin typeface="Aptos Narrow"/>
              </a:rPr>
              <a:pPr lvl="0" algn="ctr"/>
              <a:t>19</a:t>
            </a:fld>
            <a:r>
              <a:rPr lang="pl-PL" sz="1800" b="1" i="0" u="none" strike="noStrike">
                <a:solidFill>
                  <a:srgbClr val="000000"/>
                </a:solidFill>
                <a:latin typeface="Aptos Narrow"/>
              </a:rPr>
              <a:t> szt.</a:t>
            </a:r>
          </a:p>
        </xdr:txBody>
      </xdr:sp>
    </xdr:grpSp>
    <xdr:clientData/>
  </xdr:twoCellAnchor>
  <xdr:twoCellAnchor>
    <xdr:from>
      <xdr:col>9</xdr:col>
      <xdr:colOff>518583</xdr:colOff>
      <xdr:row>7</xdr:row>
      <xdr:rowOff>179916</xdr:rowOff>
    </xdr:from>
    <xdr:to>
      <xdr:col>16</xdr:col>
      <xdr:colOff>592665</xdr:colOff>
      <xdr:row>15</xdr:row>
      <xdr:rowOff>42332</xdr:rowOff>
    </xdr:to>
    <xdr:graphicFrame macro="">
      <xdr:nvGraphicFramePr>
        <xdr:cNvPr id="38" name="Chart 37">
          <a:extLst>
            <a:ext uri="{FF2B5EF4-FFF2-40B4-BE49-F238E27FC236}">
              <a16:creationId xmlns:a16="http://schemas.microsoft.com/office/drawing/2014/main" id="{C293DAD3-380C-44D7-882A-74F15DFFA9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158751</xdr:colOff>
      <xdr:row>15</xdr:row>
      <xdr:rowOff>116417</xdr:rowOff>
    </xdr:from>
    <xdr:to>
      <xdr:col>8</xdr:col>
      <xdr:colOff>232834</xdr:colOff>
      <xdr:row>27</xdr:row>
      <xdr:rowOff>166686</xdr:rowOff>
    </xdr:to>
    <xdr:graphicFrame macro="">
      <xdr:nvGraphicFramePr>
        <xdr:cNvPr id="39" name="Chart 38">
          <a:extLst>
            <a:ext uri="{FF2B5EF4-FFF2-40B4-BE49-F238E27FC236}">
              <a16:creationId xmlns:a16="http://schemas.microsoft.com/office/drawing/2014/main" id="{A26C5B3E-C37A-45E3-8176-8575E77DA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333376</xdr:colOff>
      <xdr:row>15</xdr:row>
      <xdr:rowOff>127000</xdr:rowOff>
    </xdr:from>
    <xdr:to>
      <xdr:col>16</xdr:col>
      <xdr:colOff>635000</xdr:colOff>
      <xdr:row>27</xdr:row>
      <xdr:rowOff>148167</xdr:rowOff>
    </xdr:to>
    <xdr:graphicFrame macro="">
      <xdr:nvGraphicFramePr>
        <xdr:cNvPr id="40" name="Chart 39">
          <a:extLst>
            <a:ext uri="{FF2B5EF4-FFF2-40B4-BE49-F238E27FC236}">
              <a16:creationId xmlns:a16="http://schemas.microsoft.com/office/drawing/2014/main" id="{6319749C-201F-42A3-9ECC-266D1CEE3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ksandra" refreshedDate="46263.654755324074" createdVersion="8" refreshedVersion="8" minRefreshableVersion="3" recordCount="25" xr:uid="{EA7B82DF-1D4D-47D7-A800-A3703F087405}">
  <cacheSource type="worksheet">
    <worksheetSource name="Table3"/>
  </cacheSource>
  <cacheFields count="28">
    <cacheField name="Data Audytu" numFmtId="14">
      <sharedItems/>
    </cacheField>
    <cacheField name="Data Audytu2" numFmtId="14">
      <sharedItems/>
    </cacheField>
    <cacheField name="Sklep" numFmtId="0">
      <sharedItems count="4">
        <s v="Market Bielsko-Biała "/>
        <s v="Market Pszczyna "/>
        <s v="Kaufland Bielsko-Biała " u="1"/>
        <s v="Kaufland Pszczyna " u="1"/>
      </sharedItems>
    </cacheField>
    <cacheField name="Marka" numFmtId="0">
      <sharedItems count="2">
        <s v="Knorr"/>
        <s v="Winiary"/>
      </sharedItems>
    </cacheField>
    <cacheField name="Nazwa Produktu " numFmtId="0">
      <sharedItems/>
    </cacheField>
    <cacheField name="Kategoria" numFmtId="0">
      <sharedItems count="8">
        <s v="Fixy"/>
        <s v="Sosy w proszku"/>
        <s v="Dania instant"/>
        <s v="Buliony"/>
        <s v="Majonezy"/>
        <s v="Sosy majonezowe"/>
        <s v="Zupy w proszku"/>
        <s v="Słodycze"/>
      </sharedItems>
    </cacheField>
    <cacheField name="Data Ważności" numFmtId="14">
      <sharedItems containsSemiMixedTypes="0" containsNonDate="0" containsDate="1" containsString="0" minDate="2026-04-30T00:00:00" maxDate="2026-08-01T00:00:00" count="6">
        <d v="2026-04-30T00:00:00"/>
        <d v="2026-05-31T00:00:00"/>
        <d v="2026-05-18T00:00:00"/>
        <d v="2026-05-15T00:00:00"/>
        <d v="2026-06-30T00:00:00"/>
        <d v="2026-07-31T00:00:00"/>
      </sharedItems>
      <fieldGroup par="26"/>
    </cacheField>
    <cacheField name="Miesiąc Ważności(PL)" numFmtId="14">
      <sharedItems/>
    </cacheField>
    <cacheField name="Numer Miesiąca" numFmtId="0">
      <sharedItems containsMixedTypes="1" containsNumber="1" containsInteger="1" minValue="4" maxValue="7" count="8">
        <s v="IV"/>
        <s v="V"/>
        <s v="VI"/>
        <s v="VII"/>
        <n v="4" u="1"/>
        <n v="5" u="1"/>
        <n v="6" u="1"/>
        <n v="7" u="1"/>
      </sharedItems>
    </cacheField>
    <cacheField name="Cena (zł)" numFmtId="164">
      <sharedItems containsSemiMixedTypes="0" containsString="0" containsNumber="1" minValue="2.59" maxValue="12.99"/>
    </cacheField>
    <cacheField name="Wykryto (szt.)" numFmtId="0">
      <sharedItems containsSemiMixedTypes="0" containsString="0" containsNumber="1" containsInteger="1" minValue="2" maxValue="25"/>
    </cacheField>
    <cacheField name="Wartość Zagrożona (zł)" numFmtId="164">
      <sharedItems containsSemiMixedTypes="0" containsString="0" containsNumber="1" minValue="11.96" maxValue="311.76"/>
    </cacheField>
    <cacheField name="Pozostało (szt.)" numFmtId="0">
      <sharedItems containsSemiMixedTypes="0" containsString="0" containsNumber="1" containsInteger="1" minValue="0" maxValue="20"/>
    </cacheField>
    <cacheField name="Przecena  (%)" numFmtId="9">
      <sharedItems containsSemiMixedTypes="0" containsString="0" containsNumber="1" minValue="0" maxValue="0.4" count="4">
        <n v="0.2"/>
        <n v="0"/>
        <n v="0.4"/>
        <n v="0.3" u="1"/>
      </sharedItems>
    </cacheField>
    <cacheField name="Przeterminowane (szt.)" numFmtId="0">
      <sharedItems containsSemiMixedTypes="0" containsString="0" containsNumber="1" containsInteger="1" minValue="0" maxValue="6"/>
    </cacheField>
    <cacheField name="Uratowane bez przeceny (szt.)" numFmtId="0">
      <sharedItems containsSemiMixedTypes="0" containsString="0" containsNumber="1" containsInteger="1" minValue="0" maxValue="16"/>
    </cacheField>
    <cacheField name="Uratowane z przeceną (szt.)" numFmtId="0">
      <sharedItems containsSemiMixedTypes="0" containsString="0" containsNumber="1" containsInteger="1" minValue="0" maxValue="19"/>
    </cacheField>
    <cacheField name="Uratowane Łącznie(szt.)" numFmtId="0">
      <sharedItems containsSemiMixedTypes="0" containsString="0" containsNumber="1" containsInteger="1" minValue="2" maxValue="24"/>
    </cacheField>
    <cacheField name="Odzysk Rzeczywisty (zł)" numFmtId="164">
      <sharedItems containsSemiMixedTypes="0" containsString="0" containsNumber="1" minValue="10.166" maxValue="270.19200000000001"/>
    </cacheField>
    <cacheField name="Koszt Przeceny (zł)" numFmtId="164">
      <sharedItems containsSemiMixedTypes="0" containsString="0" containsNumber="1" minValue="0" maxValue="41.568000000000005" count="20">
        <n v="11.496000000000002"/>
        <n v="0"/>
        <n v="13.641999999999999"/>
        <n v="41.568000000000005"/>
        <n v="10.788"/>
        <n v="7.7740000000000009"/>
        <n v="8.6159999999999997"/>
        <n v="8.3719999999999999"/>
        <n v="25.848000000000003"/>
        <n v="4.3079999999999998"/>
        <n v="6.4620000000000006"/>
        <n v="11.488"/>
        <n v="5.9900000000000011"/>
        <n v="1.7940000000000003"/>
        <n v="26.824000000000002"/>
        <n v="12.924000000000001" u="1"/>
        <n v="20.117999999999999" u="1"/>
        <n v="11.362000000000002" u="1"/>
        <n v="10.77" u="1"/>
        <n v="28.74" u="1"/>
      </sharedItems>
    </cacheField>
    <cacheField name="Odzysk z Przecen (zł)" numFmtId="164">
      <sharedItems containsSemiMixedTypes="0" containsString="0" containsNumber="1" minValue="0" maxValue="62.351999999999997" count="27">
        <n v="45.984000000000009"/>
        <n v="0"/>
        <n v="54.567999999999998"/>
        <n v="62.351999999999997"/>
        <n v="16.181999999999999"/>
        <n v="31.096000000000004"/>
        <n v="34.463999999999999"/>
        <n v="33.488"/>
        <n v="38.771999999999998"/>
        <n v="17.231999999999999"/>
        <n v="25.848000000000003"/>
        <n v="45.951999999999998"/>
        <n v="23.960000000000004"/>
        <n v="7.176000000000001"/>
        <n v="40.235999999999997"/>
        <n v="45.984000000000002" u="1"/>
        <n v="34.463999999999992" u="1"/>
        <n v="38.772000000000006" u="1"/>
        <n v="17.231999999999996" u="1"/>
        <n v="23.959999999999994" u="1"/>
        <n v="7.1760000000000002" u="1"/>
        <n v="40.236000000000004" u="1"/>
        <n v="51.696000000000005" u="1"/>
        <n v="46.942000000000007" u="1"/>
        <n v="27.508000000000003" u="1"/>
        <n v="32.309999999999988" u="1"/>
        <n v="38.320000000000007" u="1"/>
      </sharedItems>
    </cacheField>
    <cacheField name="Odzysk bez Przecen (zł)" numFmtId="164">
      <sharedItems containsSemiMixedTypes="0" containsString="0" containsNumber="1" minValue="0" maxValue="207.84"/>
    </cacheField>
    <cacheField name="Strata Rzeczywista (zł)" numFmtId="164">
      <sharedItems containsSemiMixedTypes="0" containsString="0" containsNumber="1" minValue="0" maxValue="28.740000000000002"/>
    </cacheField>
    <cacheField name="Łączne koszty strat i rabatów (zł)" numFmtId="164">
      <sharedItems containsSemiMixedTypes="0" containsString="0" containsNumber="1" minValue="0" maxValue="55.564000000000007"/>
    </cacheField>
    <cacheField name="Uwagi " numFmtId="0">
      <sharedItems count="5">
        <s v="Słaba sprzedaż"/>
        <s v="Ułożenie wg FIFO, obserwacja"/>
        <s v="Błędna ocena popytu"/>
        <s v="Brak FIFO"/>
        <s v="Dobra rotacja, mała strata" u="1"/>
      </sharedItems>
    </cacheField>
    <cacheField name="Days (Data Ważności)" numFmtId="0" databaseField="0">
      <fieldGroup base="6">
        <rangePr groupBy="days" startDate="2026-04-30T00:00:00" endDate="2026-08-01T00:00:00"/>
        <groupItems count="368">
          <s v="&lt;30/04/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8/2026"/>
        </groupItems>
      </fieldGroup>
    </cacheField>
    <cacheField name="Months (Data Ważności)" numFmtId="0" databaseField="0">
      <fieldGroup base="6">
        <rangePr groupBy="months" startDate="2026-04-30T00:00:00" endDate="2026-08-01T00:00:00"/>
        <groupItems count="14">
          <s v="&lt;30/04/2026"/>
          <s v="Jan"/>
          <s v="Feb"/>
          <s v="Mar"/>
          <s v="Apr"/>
          <s v="May"/>
          <s v="Jun"/>
          <s v="Jul"/>
          <s v="Aug"/>
          <s v="Sept"/>
          <s v="Oct"/>
          <s v="Nov"/>
          <s v="Dec"/>
          <s v="&gt;01/08/2026"/>
        </groupItems>
      </fieldGroup>
    </cacheField>
    <cacheField name="roi" numFmtId="0" formula="'Odzysk z Przecen (zł)'/'Koszt Przeceny (zł)'" databaseField="0"/>
  </cacheFields>
  <extLst>
    <ext xmlns:x14="http://schemas.microsoft.com/office/spreadsheetml/2009/9/main" uri="{725AE2AE-9491-48be-B2B4-4EB974FC3084}">
      <x14:pivotCacheDefinition pivotCacheId="4590726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s v="01.04.2026"/>
    <s v="17.04.2026"/>
    <x v="0"/>
    <x v="0"/>
    <s v="Kurczak w sosie dyniowym"/>
    <x v="0"/>
    <x v="0"/>
    <s v="kwiecień"/>
    <x v="0"/>
    <n v="4.79"/>
    <n v="16"/>
    <n v="76.64"/>
    <n v="12"/>
    <x v="0"/>
    <n v="0"/>
    <n v="4"/>
    <n v="12"/>
    <n v="16"/>
    <n v="65.144000000000005"/>
    <x v="0"/>
    <x v="0"/>
    <n v="19.16"/>
    <n v="0"/>
    <n v="11.496000000000002"/>
    <x v="0"/>
  </r>
  <r>
    <s v="01.04.2026"/>
    <s v="17.04.2026"/>
    <x v="0"/>
    <x v="1"/>
    <s v="Zapiekanka makaronowa z szynką"/>
    <x v="0"/>
    <x v="0"/>
    <s v="kwiecień"/>
    <x v="0"/>
    <n v="3.59"/>
    <n v="14"/>
    <n v="50.26"/>
    <n v="5"/>
    <x v="1"/>
    <n v="0"/>
    <n v="14"/>
    <n v="0"/>
    <n v="14"/>
    <n v="50.26"/>
    <x v="1"/>
    <x v="1"/>
    <n v="50.26"/>
    <n v="0"/>
    <n v="0"/>
    <x v="1"/>
  </r>
  <r>
    <s v="01.04.2026"/>
    <s v="17.04.2026"/>
    <x v="0"/>
    <x v="1"/>
    <s v="Garnek chłopski"/>
    <x v="0"/>
    <x v="0"/>
    <s v="kwiecień"/>
    <x v="0"/>
    <n v="3.59"/>
    <n v="24"/>
    <n v="86.16"/>
    <n v="19"/>
    <x v="0"/>
    <n v="0"/>
    <n v="5"/>
    <n v="19"/>
    <n v="24"/>
    <n v="72.518000000000001"/>
    <x v="2"/>
    <x v="2"/>
    <n v="17.95"/>
    <n v="0"/>
    <n v="13.641999999999999"/>
    <x v="0"/>
  </r>
  <r>
    <s v="01.04.2026"/>
    <s v="17.04.2026"/>
    <x v="1"/>
    <x v="0"/>
    <s v="Kurczak w sosie dyniowym"/>
    <x v="0"/>
    <x v="0"/>
    <s v="kwiecień"/>
    <x v="0"/>
    <n v="4.79"/>
    <n v="10"/>
    <n v="47.9"/>
    <n v="4"/>
    <x v="1"/>
    <n v="0"/>
    <n v="10"/>
    <n v="0"/>
    <n v="10"/>
    <n v="47.9"/>
    <x v="1"/>
    <x v="1"/>
    <n v="47.9"/>
    <n v="0"/>
    <n v="0"/>
    <x v="1"/>
  </r>
  <r>
    <s v="01.04.2026"/>
    <s v="17.04.2026"/>
    <x v="1"/>
    <x v="0"/>
    <s v="Mac'n cheese"/>
    <x v="0"/>
    <x v="0"/>
    <s v="kwiecień"/>
    <x v="0"/>
    <n v="4.79"/>
    <n v="13"/>
    <n v="62.27"/>
    <n v="5"/>
    <x v="1"/>
    <n v="2"/>
    <n v="11"/>
    <n v="0"/>
    <n v="11"/>
    <n v="52.69"/>
    <x v="1"/>
    <x v="1"/>
    <n v="52.69"/>
    <n v="9.58"/>
    <n v="9.58"/>
    <x v="2"/>
  </r>
  <r>
    <s v="01.04.2026"/>
    <s v="17.04.2026"/>
    <x v="1"/>
    <x v="1"/>
    <s v="Sos pomidorowy"/>
    <x v="1"/>
    <x v="0"/>
    <s v="kwiecień"/>
    <x v="0"/>
    <n v="2.59"/>
    <n v="16"/>
    <n v="41.44"/>
    <n v="0"/>
    <x v="1"/>
    <n v="0"/>
    <n v="16"/>
    <n v="0"/>
    <n v="16"/>
    <n v="41.44"/>
    <x v="1"/>
    <x v="1"/>
    <n v="41.44"/>
    <n v="0"/>
    <n v="0"/>
    <x v="1"/>
  </r>
  <r>
    <s v="04.05.2026"/>
    <s v="18.05.2026"/>
    <x v="0"/>
    <x v="0"/>
    <s v="Gorący kubek chicken burrito"/>
    <x v="2"/>
    <x v="1"/>
    <s v="maj"/>
    <x v="1"/>
    <n v="6.49"/>
    <n v="2"/>
    <n v="12.98"/>
    <n v="0"/>
    <x v="1"/>
    <n v="0"/>
    <n v="2"/>
    <n v="0"/>
    <n v="2"/>
    <n v="12.98"/>
    <x v="1"/>
    <x v="1"/>
    <n v="12.98"/>
    <n v="0"/>
    <n v="0"/>
    <x v="1"/>
  </r>
  <r>
    <s v="04.05.2026"/>
    <s v="18.05.2026"/>
    <x v="0"/>
    <x v="0"/>
    <s v="Gorący kubek sweet sour taste"/>
    <x v="2"/>
    <x v="1"/>
    <s v="maj"/>
    <x v="1"/>
    <n v="6.49"/>
    <n v="3"/>
    <n v="19.47"/>
    <n v="0"/>
    <x v="1"/>
    <n v="0"/>
    <n v="3"/>
    <n v="0"/>
    <n v="3"/>
    <n v="19.47"/>
    <x v="1"/>
    <x v="1"/>
    <n v="19.47"/>
    <n v="0"/>
    <n v="0"/>
    <x v="1"/>
  </r>
  <r>
    <s v="04.05.2026"/>
    <s v="18.05.2026"/>
    <x v="0"/>
    <x v="0"/>
    <s v="Bulionetka warzywna"/>
    <x v="3"/>
    <x v="1"/>
    <s v="maj"/>
    <x v="1"/>
    <n v="6.49"/>
    <n v="11"/>
    <n v="71.39"/>
    <n v="4"/>
    <x v="1"/>
    <n v="0"/>
    <n v="11"/>
    <n v="0"/>
    <n v="11"/>
    <n v="71.39"/>
    <x v="1"/>
    <x v="1"/>
    <n v="71.39"/>
    <n v="0"/>
    <n v="0"/>
    <x v="1"/>
  </r>
  <r>
    <s v="04.05.2026"/>
    <s v="13.05.2026"/>
    <x v="0"/>
    <x v="1"/>
    <s v="Majonez dekoracyjny 700ml"/>
    <x v="4"/>
    <x v="2"/>
    <s v="maj"/>
    <x v="1"/>
    <n v="12.99"/>
    <n v="24"/>
    <n v="311.76"/>
    <n v="8"/>
    <x v="2"/>
    <n v="0"/>
    <n v="16"/>
    <n v="8"/>
    <n v="24"/>
    <n v="270.19200000000001"/>
    <x v="3"/>
    <x v="3"/>
    <n v="207.84"/>
    <n v="0"/>
    <n v="41.568000000000005"/>
    <x v="3"/>
  </r>
  <r>
    <s v="04.05.2026"/>
    <s v="13.05.2026"/>
    <x v="1"/>
    <x v="1"/>
    <s v="Majonez z olejem awokado"/>
    <x v="4"/>
    <x v="3"/>
    <s v="maj"/>
    <x v="1"/>
    <n v="8.99"/>
    <n v="5"/>
    <n v="44.95"/>
    <n v="3"/>
    <x v="2"/>
    <n v="0"/>
    <n v="2"/>
    <n v="3"/>
    <n v="5"/>
    <n v="34.161999999999999"/>
    <x v="4"/>
    <x v="4"/>
    <n v="17.98"/>
    <n v="0"/>
    <n v="10.788"/>
    <x v="0"/>
  </r>
  <r>
    <s v="04.05.2026"/>
    <s v="18.05.2026"/>
    <x v="1"/>
    <x v="0"/>
    <s v="Sos tatarski"/>
    <x v="5"/>
    <x v="1"/>
    <s v="maj"/>
    <x v="1"/>
    <n v="7.49"/>
    <n v="6"/>
    <n v="44.94"/>
    <n v="2"/>
    <x v="1"/>
    <n v="0"/>
    <n v="6"/>
    <n v="0"/>
    <n v="6"/>
    <n v="44.94"/>
    <x v="1"/>
    <x v="1"/>
    <n v="44.94"/>
    <n v="0"/>
    <n v="0"/>
    <x v="1"/>
  </r>
  <r>
    <s v="01.06.2026"/>
    <s v="15.06.2026"/>
    <x v="0"/>
    <x v="1"/>
    <s v="Zupa ogonowa"/>
    <x v="6"/>
    <x v="4"/>
    <s v="czerwiec"/>
    <x v="2"/>
    <n v="2.99"/>
    <n v="25"/>
    <n v="74.75"/>
    <n v="19"/>
    <x v="0"/>
    <n v="6"/>
    <n v="6"/>
    <n v="13"/>
    <n v="19"/>
    <n v="49.036000000000001"/>
    <x v="5"/>
    <x v="5"/>
    <n v="17.940000000000001"/>
    <n v="17.940000000000001"/>
    <n v="25.714000000000002"/>
    <x v="0"/>
  </r>
  <r>
    <s v="01.06.2026"/>
    <s v="15.06.2026"/>
    <x v="0"/>
    <x v="1"/>
    <s v="Pomysł na... leczo"/>
    <x v="0"/>
    <x v="4"/>
    <s v="czerwiec"/>
    <x v="2"/>
    <n v="3.59"/>
    <n v="15"/>
    <n v="53.849999999999994"/>
    <n v="15"/>
    <x v="0"/>
    <n v="3"/>
    <n v="0"/>
    <n v="12"/>
    <n v="12"/>
    <n v="34.463999999999999"/>
    <x v="6"/>
    <x v="6"/>
    <n v="0"/>
    <n v="10.77"/>
    <n v="19.385999999999999"/>
    <x v="0"/>
  </r>
  <r>
    <s v="01.06.2026"/>
    <s v="15.06.2026"/>
    <x v="0"/>
    <x v="0"/>
    <s v="Doner kebab kubek"/>
    <x v="2"/>
    <x v="4"/>
    <s v="czerwiec"/>
    <x v="2"/>
    <n v="6.49"/>
    <n v="8"/>
    <n v="51.92"/>
    <n v="2"/>
    <x v="1"/>
    <n v="2"/>
    <n v="6"/>
    <n v="0"/>
    <n v="6"/>
    <n v="38.94"/>
    <x v="1"/>
    <x v="1"/>
    <n v="38.94"/>
    <n v="12.98"/>
    <n v="12.98"/>
    <x v="2"/>
  </r>
  <r>
    <s v="01.06.2026"/>
    <s v="15.06.2026"/>
    <x v="1"/>
    <x v="0"/>
    <s v="Kurczak w sosie dyniowym"/>
    <x v="0"/>
    <x v="4"/>
    <s v="czerwiec"/>
    <x v="2"/>
    <n v="4.99"/>
    <n v="9"/>
    <n v="44.910000000000004"/>
    <n v="3"/>
    <x v="1"/>
    <n v="0"/>
    <n v="9"/>
    <n v="0"/>
    <n v="9"/>
    <n v="44.910000000000004"/>
    <x v="1"/>
    <x v="1"/>
    <n v="44.910000000000004"/>
    <n v="0"/>
    <n v="0"/>
    <x v="1"/>
  </r>
  <r>
    <s v="01.06.2026"/>
    <s v="15.06.2026"/>
    <x v="1"/>
    <x v="1"/>
    <s v="Zupa kapuśniak"/>
    <x v="6"/>
    <x v="4"/>
    <s v="czerwiec"/>
    <x v="2"/>
    <n v="2.99"/>
    <n v="16"/>
    <n v="47.84"/>
    <n v="14"/>
    <x v="0"/>
    <n v="0"/>
    <n v="2"/>
    <n v="14"/>
    <n v="16"/>
    <n v="39.468000000000004"/>
    <x v="7"/>
    <x v="7"/>
    <n v="5.98"/>
    <n v="0"/>
    <n v="8.3719999999999999"/>
    <x v="0"/>
  </r>
  <r>
    <s v="01.07.2026"/>
    <s v="15.07.2026"/>
    <x v="0"/>
    <x v="1"/>
    <s v="Pomysł na... mac &amp; cheese"/>
    <x v="0"/>
    <x v="5"/>
    <s v="lipiec"/>
    <x v="3"/>
    <n v="3.59"/>
    <n v="20"/>
    <n v="71.8"/>
    <n v="18"/>
    <x v="2"/>
    <n v="0"/>
    <n v="2"/>
    <n v="18"/>
    <n v="20"/>
    <n v="45.951999999999998"/>
    <x v="8"/>
    <x v="8"/>
    <n v="7.18"/>
    <n v="0"/>
    <n v="25.848000000000003"/>
    <x v="0"/>
  </r>
  <r>
    <s v="01.07.2026"/>
    <s v="15.07.2026"/>
    <x v="0"/>
    <x v="1"/>
    <s v="Sos myśliwski"/>
    <x v="1"/>
    <x v="5"/>
    <s v="lipiec"/>
    <x v="3"/>
    <n v="3.59"/>
    <n v="11"/>
    <n v="39.489999999999995"/>
    <n v="6"/>
    <x v="0"/>
    <n v="0"/>
    <n v="5"/>
    <n v="6"/>
    <n v="11"/>
    <n v="35.182000000000002"/>
    <x v="9"/>
    <x v="9"/>
    <n v="17.95"/>
    <n v="0"/>
    <n v="4.3079999999999998"/>
    <x v="1"/>
  </r>
  <r>
    <s v="01.07.2026"/>
    <s v="15.07.2026"/>
    <x v="1"/>
    <x v="1"/>
    <s v="Sos myśliwski"/>
    <x v="1"/>
    <x v="5"/>
    <s v="lipiec"/>
    <x v="3"/>
    <n v="3.59"/>
    <n v="6"/>
    <n v="21.54"/>
    <n v="1"/>
    <x v="1"/>
    <n v="0"/>
    <n v="6"/>
    <n v="0"/>
    <n v="6"/>
    <n v="21.54"/>
    <x v="1"/>
    <x v="1"/>
    <n v="21.54"/>
    <n v="0"/>
    <n v="0"/>
    <x v="1"/>
  </r>
  <r>
    <s v="01.07.2026"/>
    <s v="15.07.2026"/>
    <x v="1"/>
    <x v="1"/>
    <s v="Sos serowo-pieczarkowy"/>
    <x v="1"/>
    <x v="5"/>
    <s v="lipiec"/>
    <x v="3"/>
    <n v="3.59"/>
    <n v="14"/>
    <n v="50.26"/>
    <n v="9"/>
    <x v="0"/>
    <n v="0"/>
    <n v="5"/>
    <n v="9"/>
    <n v="14"/>
    <n v="43.798000000000002"/>
    <x v="10"/>
    <x v="10"/>
    <n v="17.95"/>
    <n v="0"/>
    <n v="6.4620000000000006"/>
    <x v="3"/>
  </r>
  <r>
    <s v="01.07.2026"/>
    <s v="15.07.2026"/>
    <x v="1"/>
    <x v="1"/>
    <s v="Sos 4 sery z bazylią"/>
    <x v="1"/>
    <x v="5"/>
    <s v="lipiec"/>
    <x v="3"/>
    <n v="3.59"/>
    <n v="21"/>
    <n v="75.39"/>
    <n v="16"/>
    <x v="0"/>
    <n v="0"/>
    <n v="5"/>
    <n v="16"/>
    <n v="21"/>
    <n v="63.902000000000001"/>
    <x v="11"/>
    <x v="11"/>
    <n v="17.95"/>
    <n v="0"/>
    <n v="11.488"/>
    <x v="0"/>
  </r>
  <r>
    <s v="01.07.2026"/>
    <s v="15.07.2026"/>
    <x v="1"/>
    <x v="1"/>
    <s v="Fusion cup sweet &amp; sour"/>
    <x v="2"/>
    <x v="5"/>
    <s v="lipiec"/>
    <x v="3"/>
    <n v="5.99"/>
    <n v="6"/>
    <n v="35.94"/>
    <n v="5"/>
    <x v="0"/>
    <n v="0"/>
    <n v="1"/>
    <n v="5"/>
    <n v="6"/>
    <n v="29.950000000000003"/>
    <x v="12"/>
    <x v="12"/>
    <n v="5.99"/>
    <n v="0"/>
    <n v="5.9900000000000011"/>
    <x v="0"/>
  </r>
  <r>
    <s v="01.07.2026"/>
    <s v="15.07.2026"/>
    <x v="1"/>
    <x v="1"/>
    <s v="Noodle  kaczka"/>
    <x v="2"/>
    <x v="5"/>
    <s v="lipiec"/>
    <x v="3"/>
    <n v="2.99"/>
    <n v="4"/>
    <n v="11.96"/>
    <n v="3"/>
    <x v="0"/>
    <n v="0"/>
    <n v="1"/>
    <n v="3"/>
    <n v="4"/>
    <n v="10.166"/>
    <x v="13"/>
    <x v="13"/>
    <n v="2.99"/>
    <n v="0"/>
    <n v="1.7940000000000003"/>
    <x v="0"/>
  </r>
  <r>
    <s v="01.07.2026"/>
    <s v="15.07.2026"/>
    <x v="1"/>
    <x v="1"/>
    <s v="Kitkat duo classic"/>
    <x v="7"/>
    <x v="5"/>
    <s v="lipiec"/>
    <x v="3"/>
    <n v="4.79"/>
    <n v="20"/>
    <n v="95.8"/>
    <n v="20"/>
    <x v="2"/>
    <n v="6"/>
    <n v="0"/>
    <n v="14"/>
    <n v="14"/>
    <n v="40.235999999999997"/>
    <x v="14"/>
    <x v="14"/>
    <n v="0"/>
    <n v="28.740000000000002"/>
    <n v="55.56400000000000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E02A62-E071-4D63-8F91-EBCF6C9E7AB0}" name="PivotTable1" cacheId="1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117:B122" firstHeaderRow="1" firstDataRow="1" firstDataCol="1"/>
  <pivotFields count="28">
    <pivotField showAll="0"/>
    <pivotField showAll="0"/>
    <pivotField showAll="0">
      <items count="5">
        <item m="1" x="2"/>
        <item m="1" x="3"/>
        <item x="0"/>
        <item x="1"/>
        <item t="default"/>
      </items>
    </pivotField>
    <pivotField showAll="0">
      <items count="3">
        <item x="0"/>
        <item x="1"/>
        <item t="default"/>
      </items>
    </pivotField>
    <pivotField showAll="0"/>
    <pivotField axis="axisRow" showAll="0" measureFilter="1" sortType="descending">
      <items count="9">
        <item x="3"/>
        <item x="2"/>
        <item x="0"/>
        <item x="4"/>
        <item x="7"/>
        <item x="5"/>
        <item x="1"/>
        <item x="6"/>
        <item t="default"/>
      </items>
      <autoSortScope>
        <pivotArea dataOnly="0" outline="0" fieldPosition="0">
          <references count="1">
            <reference field="4294967294" count="1" selected="0">
              <x v="0"/>
            </reference>
          </references>
        </pivotArea>
      </autoSortScope>
    </pivotField>
    <pivotField numFmtId="14" showAll="0">
      <items count="7">
        <item x="0"/>
        <item x="3"/>
        <item x="2"/>
        <item x="1"/>
        <item x="4"/>
        <item x="5"/>
        <item t="default"/>
      </items>
    </pivotField>
    <pivotField showAll="0"/>
    <pivotField showAll="0">
      <items count="9">
        <item m="1" x="4"/>
        <item m="1" x="5"/>
        <item m="1" x="6"/>
        <item m="1" x="7"/>
        <item x="0"/>
        <item x="1"/>
        <item x="2"/>
        <item x="3"/>
        <item t="default"/>
      </items>
    </pivotField>
    <pivotField numFmtId="164" showAll="0"/>
    <pivotField showAll="0"/>
    <pivotField numFmtId="164" showAll="0"/>
    <pivotField showAll="0"/>
    <pivotField numFmtId="9" showAll="0"/>
    <pivotField showAll="0"/>
    <pivotField showAll="0"/>
    <pivotField showAll="0"/>
    <pivotField showAll="0"/>
    <pivotField numFmtId="164" showAll="0"/>
    <pivotField numFmtId="164" showAll="0"/>
    <pivotField numFmtId="164" showAll="0"/>
    <pivotField numFmtId="164" showAll="0"/>
    <pivotField dataField="1" numFmtId="164" showAll="0"/>
    <pivotField numFmtId="164"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5"/>
  </rowFields>
  <rowItems count="5">
    <i>
      <x v="4"/>
    </i>
    <i>
      <x v="2"/>
    </i>
    <i>
      <x v="7"/>
    </i>
    <i>
      <x v="1"/>
    </i>
    <i t="grand">
      <x/>
    </i>
  </rowItems>
  <colItems count="1">
    <i/>
  </colItems>
  <dataFields count="1">
    <dataField name="Sum of Strata Rzeczywista (zł)" fld="22" showDataAs="percentOfTotal" baseField="5" baseItem="4" numFmtId="10"/>
  </dataFields>
  <chartFormats count="2">
    <chartFormat chart="25" format="5"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valueGreaterThan" evalOrder="-1" id="8"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70A151-88A7-460A-BAF4-C021B700A5F4}" name="PivotTable16" cacheId="12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J55:J56" firstHeaderRow="1" firstDataRow="1" firstDataCol="0"/>
  <pivotFields count="28">
    <pivotField showAll="0"/>
    <pivotField showAll="0"/>
    <pivotField showAll="0">
      <items count="5">
        <item m="1" x="2"/>
        <item m="1" x="3"/>
        <item x="0"/>
        <item x="1"/>
        <item t="default"/>
      </items>
    </pivotField>
    <pivotField showAll="0">
      <items count="3">
        <item x="0"/>
        <item x="1"/>
        <item t="default"/>
      </items>
    </pivotField>
    <pivotField showAll="0"/>
    <pivotField showAll="0"/>
    <pivotField numFmtId="14" showAll="0">
      <items count="7">
        <item x="0"/>
        <item x="3"/>
        <item x="2"/>
        <item x="1"/>
        <item x="4"/>
        <item x="5"/>
        <item t="default"/>
      </items>
    </pivotField>
    <pivotField showAll="0"/>
    <pivotField showAll="0">
      <items count="9">
        <item m="1" x="4"/>
        <item m="1" x="5"/>
        <item m="1" x="6"/>
        <item m="1" x="7"/>
        <item x="0"/>
        <item x="1"/>
        <item x="2"/>
        <item x="3"/>
        <item t="default"/>
      </items>
    </pivotField>
    <pivotField numFmtId="164" showAll="0"/>
    <pivotField showAll="0"/>
    <pivotField numFmtId="164" showAll="0"/>
    <pivotField showAll="0"/>
    <pivotField numFmtId="9" showAll="0"/>
    <pivotField showAll="0"/>
    <pivotField showAll="0"/>
    <pivotField showAll="0"/>
    <pivotField showAll="0"/>
    <pivotField numFmtId="164" showAll="0"/>
    <pivotField numFmtId="164" showAll="0"/>
    <pivotField numFmtId="164" showAll="0"/>
    <pivotField numFmtId="164" showAll="0"/>
    <pivotField dataField="1" numFmtId="164" showAll="0"/>
    <pivotField numFmtId="164"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Items count="1">
    <i/>
  </rowItems>
  <colItems count="1">
    <i/>
  </colItems>
  <dataFields count="1">
    <dataField name="Sum of Strata Rzeczywista (zł)" fld="22" baseField="0" baseItem="0" numFmtId="164"/>
  </dataFields>
  <formats count="1">
    <format dxfId="9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86D2EE-AFE6-4C7A-A85B-FA9E8CD4E16C}" name="PivotTable14" cacheId="12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J65:K67" firstHeaderRow="1" firstDataRow="1" firstDataCol="1"/>
  <pivotFields count="28">
    <pivotField showAll="0"/>
    <pivotField showAll="0"/>
    <pivotField showAll="0">
      <items count="5">
        <item m="1" x="2"/>
        <item m="1" x="3"/>
        <item x="0"/>
        <item x="1"/>
        <item t="default"/>
      </items>
    </pivotField>
    <pivotField showAll="0">
      <items count="3">
        <item x="0"/>
        <item x="1"/>
        <item t="default"/>
      </items>
    </pivotField>
    <pivotField showAll="0"/>
    <pivotField showAll="0"/>
    <pivotField numFmtId="14" showAll="0">
      <items count="7">
        <item x="0"/>
        <item x="3"/>
        <item x="2"/>
        <item x="1"/>
        <item x="4"/>
        <item x="5"/>
        <item t="default"/>
      </items>
    </pivotField>
    <pivotField showAll="0"/>
    <pivotField showAll="0">
      <items count="9">
        <item m="1" x="4"/>
        <item m="1" x="5"/>
        <item m="1" x="6"/>
        <item m="1" x="7"/>
        <item x="0"/>
        <item x="1"/>
        <item x="2"/>
        <item x="3"/>
        <item t="default"/>
      </items>
    </pivotField>
    <pivotField numFmtId="164" showAll="0"/>
    <pivotField showAll="0"/>
    <pivotField dataField="1" numFmtId="164" showAll="0"/>
    <pivotField showAll="0"/>
    <pivotField numFmtId="9" showAll="0"/>
    <pivotField showAll="0"/>
    <pivotField showAll="0"/>
    <pivotField showAll="0"/>
    <pivotField showAll="0"/>
    <pivotField numFmtId="164" showAll="0"/>
    <pivotField numFmtId="164" showAll="0"/>
    <pivotField numFmtId="164" showAll="0"/>
    <pivotField numFmtId="164" showAll="0"/>
    <pivotField dataField="1" numFmtId="164" showAll="0"/>
    <pivotField numFmtId="164"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2"/>
  </rowFields>
  <rowItems count="2">
    <i>
      <x/>
    </i>
    <i i="1">
      <x v="1"/>
    </i>
  </rowItems>
  <colItems count="1">
    <i/>
  </colItems>
  <dataFields count="2">
    <dataField name="Sum of Wartość Zagrożona (zł)" fld="11" baseField="0" baseItem="0" numFmtId="164"/>
    <dataField name="Sum of Strata Rzeczywista (zł)" fld="22" baseField="0" baseItem="0" numFmtId="164"/>
  </dataFields>
  <formats count="1">
    <format dxfId="9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C3EBD4-5B9F-4600-ABB7-492D0C77F277}" name="PivotTable15" cacheId="12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J76:J77" firstHeaderRow="1" firstDataRow="1" firstDataCol="0"/>
  <pivotFields count="28">
    <pivotField showAll="0"/>
    <pivotField showAll="0"/>
    <pivotField showAll="0">
      <items count="5">
        <item m="1" x="2"/>
        <item m="1" x="3"/>
        <item x="0"/>
        <item x="1"/>
        <item t="default"/>
      </items>
    </pivotField>
    <pivotField showAll="0">
      <items count="3">
        <item x="0"/>
        <item x="1"/>
        <item t="default"/>
      </items>
    </pivotField>
    <pivotField showAll="0"/>
    <pivotField showAll="0"/>
    <pivotField numFmtId="14" showAll="0">
      <items count="7">
        <item x="0"/>
        <item x="3"/>
        <item x="2"/>
        <item x="1"/>
        <item x="4"/>
        <item x="5"/>
        <item t="default"/>
      </items>
    </pivotField>
    <pivotField showAll="0"/>
    <pivotField showAll="0">
      <items count="9">
        <item m="1" x="4"/>
        <item m="1" x="5"/>
        <item m="1" x="6"/>
        <item m="1" x="7"/>
        <item x="0"/>
        <item x="1"/>
        <item x="2"/>
        <item x="3"/>
        <item t="default"/>
      </items>
    </pivotField>
    <pivotField numFmtId="164" showAll="0"/>
    <pivotField showAll="0"/>
    <pivotField numFmtId="164" showAll="0"/>
    <pivotField showAll="0"/>
    <pivotField numFmtId="9" showAll="0"/>
    <pivotField dataField="1" showAll="0"/>
    <pivotField showAll="0"/>
    <pivotField showAll="0"/>
    <pivotField showAll="0"/>
    <pivotField numFmtId="164" showAll="0"/>
    <pivotField numFmtId="164" showAll="0"/>
    <pivotField numFmtId="164" showAll="0"/>
    <pivotField numFmtId="164" showAll="0"/>
    <pivotField numFmtId="164" showAll="0"/>
    <pivotField numFmtId="164"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Items count="1">
    <i/>
  </rowItems>
  <colItems count="1">
    <i/>
  </colItems>
  <dataFields count="1">
    <dataField name="Sum of Przeterminowane (szt.)" fld="14" baseField="0" baseItem="0"/>
  </dataFields>
  <formats count="1">
    <format dxfId="9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FEAC22-B56F-451E-8930-862D039C25CB}" name="PivotTable2" cacheId="1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42:B145" firstHeaderRow="1" firstDataRow="1" firstDataCol="1"/>
  <pivotFields count="28">
    <pivotField showAll="0"/>
    <pivotField showAll="0"/>
    <pivotField showAll="0">
      <items count="5">
        <item m="1" x="2"/>
        <item m="1" x="3"/>
        <item x="0"/>
        <item x="1"/>
        <item t="default"/>
      </items>
    </pivotField>
    <pivotField showAll="0">
      <items count="3">
        <item x="0"/>
        <item x="1"/>
        <item t="default"/>
      </items>
    </pivotField>
    <pivotField showAll="0"/>
    <pivotField showAll="0"/>
    <pivotField numFmtId="14" showAll="0">
      <items count="7">
        <item x="0"/>
        <item x="3"/>
        <item x="2"/>
        <item x="1"/>
        <item x="4"/>
        <item x="5"/>
        <item t="default"/>
      </items>
    </pivotField>
    <pivotField showAll="0"/>
    <pivotField showAll="0">
      <items count="9">
        <item m="1" x="4"/>
        <item m="1" x="5"/>
        <item m="1" x="6"/>
        <item m="1" x="7"/>
        <item x="0"/>
        <item x="1"/>
        <item x="2"/>
        <item x="3"/>
        <item t="default"/>
      </items>
    </pivotField>
    <pivotField numFmtId="164" showAll="0"/>
    <pivotField showAll="0"/>
    <pivotField numFmtId="164" showAll="0"/>
    <pivotField showAll="0"/>
    <pivotField numFmtId="9" showAll="0"/>
    <pivotField showAll="0"/>
    <pivotField showAll="0"/>
    <pivotField showAll="0"/>
    <pivotField showAll="0"/>
    <pivotField numFmtId="164" showAll="0"/>
    <pivotField numFmtId="164" showAll="0"/>
    <pivotField numFmtId="164" showAll="0"/>
    <pivotField numFmtId="164" showAll="0"/>
    <pivotField dataField="1" numFmtId="164" showAll="0"/>
    <pivotField numFmtId="164" showAll="0"/>
    <pivotField axis="axisRow" showAll="0" measureFilter="1">
      <items count="6">
        <item x="3"/>
        <item m="1" x="4"/>
        <item x="0"/>
        <item x="1"/>
        <item x="2"/>
        <item t="default"/>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24"/>
  </rowFields>
  <rowItems count="3">
    <i>
      <x v="2"/>
    </i>
    <i>
      <x v="4"/>
    </i>
    <i t="grand">
      <x/>
    </i>
  </rowItems>
  <colItems count="1">
    <i/>
  </colItems>
  <dataFields count="1">
    <dataField name="Sum of Strata Rzeczywista (zł)" fld="22" baseField="0" baseItem="0" numFmtId="164"/>
  </dataFields>
  <chartFormats count="6">
    <chartFormat chart="22" format="5" series="1">
      <pivotArea type="data" outline="0" fieldPosition="0">
        <references count="1">
          <reference field="4294967294" count="1" selected="0">
            <x v="0"/>
          </reference>
        </references>
      </pivotArea>
    </chartFormat>
    <chartFormat chart="25" format="11" series="1">
      <pivotArea type="data" outline="0" fieldPosition="0">
        <references count="1">
          <reference field="4294967294" count="1" selected="0">
            <x v="0"/>
          </reference>
        </references>
      </pivotArea>
    </chartFormat>
    <chartFormat chart="25" format="12">
      <pivotArea type="data" outline="0" fieldPosition="0">
        <references count="2">
          <reference field="4294967294" count="1" selected="0">
            <x v="0"/>
          </reference>
          <reference field="24" count="1" selected="0">
            <x v="2"/>
          </reference>
        </references>
      </pivotArea>
    </chartFormat>
    <chartFormat chart="25" format="13">
      <pivotArea type="data" outline="0" fieldPosition="0">
        <references count="2">
          <reference field="4294967294" count="1" selected="0">
            <x v="0"/>
          </reference>
          <reference field="24" count="1" selected="0">
            <x v="4"/>
          </reference>
        </references>
      </pivotArea>
    </chartFormat>
    <chartFormat chart="22" format="6">
      <pivotArea type="data" outline="0" fieldPosition="0">
        <references count="2">
          <reference field="4294967294" count="1" selected="0">
            <x v="0"/>
          </reference>
          <reference field="24" count="1" selected="0">
            <x v="2"/>
          </reference>
        </references>
      </pivotArea>
    </chartFormat>
    <chartFormat chart="22" format="7">
      <pivotArea type="data" outline="0" fieldPosition="0">
        <references count="2">
          <reference field="4294967294" count="1" selected="0">
            <x v="0"/>
          </reference>
          <reference field="24" count="1" selected="0">
            <x v="4"/>
          </reference>
        </references>
      </pivotArea>
    </chartFormat>
  </chartFormats>
  <pivotTableStyleInfo name="PivotStyleLight16" showRowHeaders="1" showColHeaders="1" showRowStripes="0" showColStripes="0" showLastColumn="1"/>
  <filters count="1">
    <filter fld="24" type="valueGreaterThan" evalOrder="-1" id="2"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1DB2C7-20E8-4E99-86BA-06CA13B2B94A}" name="PivotTable12" cacheId="1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56:C59" firstHeaderRow="0" firstDataRow="1" firstDataCol="1"/>
  <pivotFields count="28">
    <pivotField showAll="0"/>
    <pivotField showAll="0"/>
    <pivotField showAll="0">
      <items count="5">
        <item m="1" x="2"/>
        <item m="1" x="3"/>
        <item x="0"/>
        <item x="1"/>
        <item t="default"/>
      </items>
    </pivotField>
    <pivotField showAll="0">
      <items count="3">
        <item x="0"/>
        <item x="1"/>
        <item t="default"/>
      </items>
    </pivotField>
    <pivotField showAll="0"/>
    <pivotField showAll="0" measureFilter="1" sortType="descending">
      <autoSortScope>
        <pivotArea dataOnly="0" outline="0" fieldPosition="0">
          <references count="1">
            <reference field="4294967294" count="1" selected="0">
              <x v="0"/>
            </reference>
          </references>
        </pivotArea>
      </autoSortScope>
    </pivotField>
    <pivotField numFmtId="14" showAll="0">
      <items count="7">
        <item x="0"/>
        <item x="3"/>
        <item x="2"/>
        <item x="1"/>
        <item x="4"/>
        <item x="5"/>
        <item t="default"/>
      </items>
    </pivotField>
    <pivotField showAll="0"/>
    <pivotField showAll="0">
      <items count="9">
        <item m="1" x="4"/>
        <item m="1" x="5"/>
        <item m="1" x="6"/>
        <item m="1" x="7"/>
        <item x="0"/>
        <item x="1"/>
        <item x="2"/>
        <item x="3"/>
        <item t="default"/>
      </items>
    </pivotField>
    <pivotField numFmtId="164" showAll="0"/>
    <pivotField showAll="0"/>
    <pivotField numFmtId="164" showAll="0"/>
    <pivotField showAll="0"/>
    <pivotField axis="axisRow" numFmtId="9" showAll="0" measureFilter="1">
      <items count="5">
        <item x="1"/>
        <item x="0"/>
        <item m="1" x="3"/>
        <item x="2"/>
        <item t="default"/>
      </items>
    </pivotField>
    <pivotField showAll="0"/>
    <pivotField showAll="0"/>
    <pivotField showAll="0"/>
    <pivotField showAll="0"/>
    <pivotField numFmtId="164" showAll="0"/>
    <pivotField dataField="1" numFmtId="164" showAll="0"/>
    <pivotField dataField="1" numFmtId="164" showAll="0"/>
    <pivotField numFmtId="164" showAll="0"/>
    <pivotField numFmtId="164" showAll="0"/>
    <pivotField numFmtId="164"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3"/>
  </rowFields>
  <rowItems count="3">
    <i>
      <x v="1"/>
    </i>
    <i>
      <x v="3"/>
    </i>
    <i t="grand">
      <x/>
    </i>
  </rowItems>
  <colFields count="1">
    <field x="-2"/>
  </colFields>
  <colItems count="2">
    <i>
      <x/>
    </i>
    <i i="1">
      <x v="1"/>
    </i>
  </colItems>
  <dataFields count="2">
    <dataField name="Odzysk z przecen" fld="20" baseField="13" baseItem="1" numFmtId="164"/>
    <dataField name="Koszt przecen" fld="19" baseField="13" baseItem="1" numFmtId="164"/>
  </dataFields>
  <chartFormats count="8">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1"/>
          </reference>
        </references>
      </pivotArea>
    </chartFormat>
    <chartFormat chart="17" format="5"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1"/>
          </reference>
        </references>
      </pivotArea>
    </chartFormat>
    <chartFormat chart="23" format="6"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2">
    <filter fld="5" type="valueGreaterThan" evalOrder="-1" id="2" iMeasureFld="0">
      <autoFilter ref="A1">
        <filterColumn colId="0">
          <customFilters>
            <customFilter operator="greaterThan" val="0"/>
          </customFilters>
        </filterColumn>
      </autoFilter>
    </filter>
    <filter fld="13" type="valueGreaterThan" evalOrder="-1" id="3"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3E6DFB-48F0-449D-A016-B72946CE5CF3}" name="PivotTable5" cacheId="12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J44:K46" firstHeaderRow="1" firstDataRow="1" firstDataCol="1"/>
  <pivotFields count="28">
    <pivotField showAll="0"/>
    <pivotField showAll="0"/>
    <pivotField showAll="0">
      <items count="5">
        <item m="1" x="2"/>
        <item m="1" x="3"/>
        <item x="0"/>
        <item x="1"/>
        <item t="default"/>
      </items>
    </pivotField>
    <pivotField showAll="0">
      <items count="3">
        <item x="0"/>
        <item x="1"/>
        <item t="default"/>
      </items>
    </pivotField>
    <pivotField showAll="0"/>
    <pivotField showAll="0"/>
    <pivotField numFmtId="14" showAll="0">
      <items count="7">
        <item x="0"/>
        <item x="3"/>
        <item x="2"/>
        <item x="1"/>
        <item x="4"/>
        <item x="5"/>
        <item t="default"/>
      </items>
    </pivotField>
    <pivotField showAll="0"/>
    <pivotField showAll="0">
      <items count="9">
        <item m="1" x="4"/>
        <item m="1" x="5"/>
        <item m="1" x="6"/>
        <item m="1" x="7"/>
        <item x="0"/>
        <item x="1"/>
        <item x="2"/>
        <item x="3"/>
        <item t="default"/>
      </items>
    </pivotField>
    <pivotField numFmtId="164" showAll="0"/>
    <pivotField showAll="0"/>
    <pivotField numFmtId="164" showAll="0"/>
    <pivotField showAll="0"/>
    <pivotField numFmtId="9" showAll="0"/>
    <pivotField showAll="0"/>
    <pivotField showAll="0"/>
    <pivotField showAll="0"/>
    <pivotField showAll="0"/>
    <pivotField dataField="1" numFmtId="164" showAll="0"/>
    <pivotField numFmtId="164" showAll="0"/>
    <pivotField dataField="1" numFmtId="164" showAll="0"/>
    <pivotField numFmtId="164" showAll="0"/>
    <pivotField numFmtId="164" showAll="0"/>
    <pivotField numFmtId="164"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2"/>
  </rowFields>
  <rowItems count="2">
    <i>
      <x/>
    </i>
    <i i="1">
      <x v="1"/>
    </i>
  </rowItems>
  <colItems count="1">
    <i/>
  </colItems>
  <dataFields count="2">
    <dataField name="Sum of Odzysk Rzeczywisty (zł)" fld="18" baseField="0" baseItem="0" numFmtId="164"/>
    <dataField name="Sum of Odzysk z Przecen (zł)" fld="20" baseField="0" baseItem="0" numFmtId="164"/>
  </dataFields>
  <formats count="1">
    <format dxfId="9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20D3E69-D78C-4FF9-9CED-292E5E1F1721}" name="PivotTable9" cacheId="12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J17:K19" firstHeaderRow="1" firstDataRow="1" firstDataCol="1"/>
  <pivotFields count="28">
    <pivotField showAll="0"/>
    <pivotField showAll="0"/>
    <pivotField showAll="0">
      <items count="5">
        <item m="1" x="2"/>
        <item m="1" x="3"/>
        <item x="0"/>
        <item x="1"/>
        <item t="default"/>
      </items>
    </pivotField>
    <pivotField showAll="0">
      <items count="3">
        <item x="0"/>
        <item x="1"/>
        <item t="default"/>
      </items>
    </pivotField>
    <pivotField showAll="0"/>
    <pivotField showAll="0"/>
    <pivotField numFmtId="14" showAll="0">
      <items count="7">
        <item x="0"/>
        <item x="3"/>
        <item x="2"/>
        <item x="1"/>
        <item x="4"/>
        <item x="5"/>
        <item t="default"/>
      </items>
    </pivotField>
    <pivotField showAll="0"/>
    <pivotField showAll="0">
      <items count="9">
        <item m="1" x="4"/>
        <item m="1" x="5"/>
        <item m="1" x="6"/>
        <item m="1" x="7"/>
        <item x="0"/>
        <item x="1"/>
        <item x="2"/>
        <item x="3"/>
        <item t="default"/>
      </items>
    </pivotField>
    <pivotField numFmtId="164" showAll="0"/>
    <pivotField showAll="0"/>
    <pivotField dataField="1" numFmtId="164" showAll="0"/>
    <pivotField showAll="0"/>
    <pivotField numFmtId="9" showAll="0"/>
    <pivotField showAll="0"/>
    <pivotField showAll="0"/>
    <pivotField showAll="0"/>
    <pivotField showAll="0"/>
    <pivotField dataField="1" numFmtId="164" showAll="0"/>
    <pivotField numFmtId="164" showAll="0"/>
    <pivotField numFmtId="164" showAll="0"/>
    <pivotField numFmtId="164" showAll="0"/>
    <pivotField numFmtId="164" showAll="0"/>
    <pivotField numFmtId="164"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2"/>
  </rowFields>
  <rowItems count="2">
    <i>
      <x/>
    </i>
    <i i="1">
      <x v="1"/>
    </i>
  </rowItems>
  <colItems count="1">
    <i/>
  </colItems>
  <dataFields count="2">
    <dataField name="Sum of Wartość Zagrożona (zł)" fld="11" baseField="0" baseItem="0" numFmtId="165"/>
    <dataField name="Sum of Odzysk Rzeczywisty (zł)" fld="18" baseField="0" baseItem="0" numFmtId="164"/>
  </dataFields>
  <formats count="1">
    <format dxfId="9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84C2FAA-13B7-4ED8-992B-A1AE428ECD1E}" name="PivotTable4" cacheId="12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J35:K37" firstHeaderRow="1" firstDataRow="1" firstDataCol="1"/>
  <pivotFields count="28">
    <pivotField showAll="0"/>
    <pivotField showAll="0"/>
    <pivotField showAll="0">
      <items count="5">
        <item m="1" x="2"/>
        <item m="1" x="3"/>
        <item x="0"/>
        <item x="1"/>
        <item t="default"/>
      </items>
    </pivotField>
    <pivotField showAll="0">
      <items count="3">
        <item x="0"/>
        <item x="1"/>
        <item t="default"/>
      </items>
    </pivotField>
    <pivotField showAll="0"/>
    <pivotField showAll="0"/>
    <pivotField numFmtId="14" showAll="0">
      <items count="7">
        <item x="0"/>
        <item x="3"/>
        <item x="2"/>
        <item x="1"/>
        <item x="4"/>
        <item x="5"/>
        <item t="default"/>
      </items>
    </pivotField>
    <pivotField showAll="0"/>
    <pivotField showAll="0">
      <items count="9">
        <item m="1" x="4"/>
        <item m="1" x="5"/>
        <item m="1" x="6"/>
        <item m="1" x="7"/>
        <item x="0"/>
        <item x="1"/>
        <item x="2"/>
        <item x="3"/>
        <item t="default"/>
      </items>
    </pivotField>
    <pivotField numFmtId="164" showAll="0"/>
    <pivotField showAll="0"/>
    <pivotField numFmtId="164" showAll="0"/>
    <pivotField showAll="0"/>
    <pivotField numFmtId="9" showAll="0"/>
    <pivotField showAll="0"/>
    <pivotField showAll="0"/>
    <pivotField showAll="0"/>
    <pivotField showAll="0"/>
    <pivotField numFmtId="164" showAll="0"/>
    <pivotField dataField="1" numFmtId="164" showAll="0"/>
    <pivotField dataField="1" numFmtId="164" showAll="0"/>
    <pivotField numFmtId="164" showAll="0"/>
    <pivotField numFmtId="164" showAll="0"/>
    <pivotField numFmtId="164"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2"/>
  </rowFields>
  <rowItems count="2">
    <i>
      <x/>
    </i>
    <i i="1">
      <x v="1"/>
    </i>
  </rowItems>
  <colItems count="1">
    <i/>
  </colItems>
  <dataFields count="2">
    <dataField name="Sum of Odzysk z Przecen (zł)" fld="20" baseField="0" baseItem="0" numFmtId="164"/>
    <dataField name="Sum of Koszt Przeceny (zł)" fld="19" baseField="0" baseItem="0" numFmtId="164"/>
  </dataFields>
  <formats count="1">
    <format dxfId="9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E125836-3115-4894-A472-49D6623E714A}" name="PivotTable7" cacheId="12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J4:J5" firstHeaderRow="1" firstDataRow="1" firstDataCol="0"/>
  <pivotFields count="28">
    <pivotField showAll="0"/>
    <pivotField showAll="0"/>
    <pivotField showAll="0">
      <items count="5">
        <item m="1" x="2"/>
        <item m="1" x="3"/>
        <item x="0"/>
        <item x="1"/>
        <item t="default"/>
      </items>
    </pivotField>
    <pivotField showAll="0">
      <items count="3">
        <item x="0"/>
        <item x="1"/>
        <item t="default"/>
      </items>
    </pivotField>
    <pivotField showAll="0"/>
    <pivotField showAll="0"/>
    <pivotField numFmtId="14" showAll="0">
      <items count="7">
        <item x="0"/>
        <item x="3"/>
        <item x="2"/>
        <item x="1"/>
        <item x="4"/>
        <item x="5"/>
        <item t="default"/>
      </items>
    </pivotField>
    <pivotField showAll="0"/>
    <pivotField showAll="0">
      <items count="9">
        <item m="1" x="4"/>
        <item m="1" x="5"/>
        <item m="1" x="6"/>
        <item m="1" x="7"/>
        <item x="0"/>
        <item x="1"/>
        <item x="2"/>
        <item x="3"/>
        <item t="default"/>
      </items>
    </pivotField>
    <pivotField numFmtId="164" showAll="0"/>
    <pivotField showAll="0"/>
    <pivotField dataField="1" numFmtId="164" showAll="0"/>
    <pivotField showAll="0"/>
    <pivotField numFmtId="9" showAll="0"/>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Items count="1">
    <i/>
  </rowItems>
  <colItems count="1">
    <i/>
  </colItems>
  <dataFields count="1">
    <dataField name="Sum of Wartość Zagrożona (zł)" fld="11" baseField="0" baseItem="0" numFmtId="165"/>
  </dataFields>
  <formats count="1">
    <format dxfId="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42B526A-7B47-42EE-BEED-77FCAB12BA6F}" name="PivotTable3" cacheId="12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J25:J26" firstHeaderRow="1" firstDataRow="1" firstDataCol="0"/>
  <pivotFields count="28">
    <pivotField showAll="0"/>
    <pivotField showAll="0"/>
    <pivotField showAll="0">
      <items count="5">
        <item m="1" x="2"/>
        <item m="1" x="3"/>
        <item x="0"/>
        <item x="1"/>
        <item t="default"/>
      </items>
    </pivotField>
    <pivotField showAll="0">
      <items count="3">
        <item x="0"/>
        <item x="1"/>
        <item t="default"/>
      </items>
    </pivotField>
    <pivotField showAll="0"/>
    <pivotField showAll="0"/>
    <pivotField numFmtId="14" showAll="0">
      <items count="7">
        <item x="0"/>
        <item x="3"/>
        <item x="2"/>
        <item x="1"/>
        <item x="4"/>
        <item x="5"/>
        <item t="default"/>
      </items>
    </pivotField>
    <pivotField showAll="0"/>
    <pivotField showAll="0">
      <items count="9">
        <item m="1" x="4"/>
        <item m="1" x="5"/>
        <item m="1" x="6"/>
        <item m="1" x="7"/>
        <item x="0"/>
        <item x="1"/>
        <item x="2"/>
        <item x="3"/>
        <item t="default"/>
      </items>
    </pivotField>
    <pivotField numFmtId="164" showAll="0"/>
    <pivotField showAll="0"/>
    <pivotField numFmtId="164" showAll="0"/>
    <pivotField showAll="0"/>
    <pivotField numFmtId="9" showAll="0"/>
    <pivotField showAll="0"/>
    <pivotField showAll="0"/>
    <pivotField showAll="0"/>
    <pivotField showAll="0"/>
    <pivotField numFmtId="164" showAll="0"/>
    <pivotField numFmtId="164" showAll="0"/>
    <pivotField dataField="1" numFmtId="164" showAll="0"/>
    <pivotField numFmtId="164" showAll="0"/>
    <pivotField numFmtId="164" showAll="0"/>
    <pivotField numFmtId="164"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Items count="1">
    <i/>
  </rowItems>
  <colItems count="1">
    <i/>
  </colItems>
  <dataFields count="1">
    <dataField name="Sum of Odzysk z Przecen (zł)" fld="20" baseField="0" baseItem="0" numFmtId="164"/>
  </dataFields>
  <formats count="1">
    <format dxfId="9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83353E0-34D4-4D29-BE52-BB49FDD3E48E}" name="PivotTable6" cacheId="1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6:B41" firstHeaderRow="1" firstDataRow="1" firstDataCol="1"/>
  <pivotFields count="28">
    <pivotField showAll="0"/>
    <pivotField showAll="0"/>
    <pivotField showAll="0">
      <items count="5">
        <item m="1" x="2"/>
        <item m="1" x="3"/>
        <item x="0"/>
        <item x="1"/>
        <item t="default"/>
      </items>
    </pivotField>
    <pivotField showAll="0">
      <items count="3">
        <item x="0"/>
        <item x="1"/>
        <item t="default"/>
      </items>
    </pivotField>
    <pivotField showAll="0"/>
    <pivotField showAll="0"/>
    <pivotField numFmtId="14" showAll="0">
      <items count="7">
        <item x="0"/>
        <item x="3"/>
        <item x="2"/>
        <item x="1"/>
        <item x="4"/>
        <item x="5"/>
        <item t="default"/>
      </items>
    </pivotField>
    <pivotField showAll="0"/>
    <pivotField axis="axisRow" showAll="0">
      <items count="9">
        <item m="1" x="4"/>
        <item m="1" x="5"/>
        <item m="1" x="6"/>
        <item m="1" x="7"/>
        <item x="0"/>
        <item x="1"/>
        <item x="2"/>
        <item x="3"/>
        <item t="default"/>
      </items>
    </pivotField>
    <pivotField numFmtId="164" showAll="0"/>
    <pivotField showAll="0"/>
    <pivotField numFmtId="164" showAll="0"/>
    <pivotField showAll="0"/>
    <pivotField numFmtId="9" showAll="0"/>
    <pivotField showAll="0"/>
    <pivotField showAll="0"/>
    <pivotField showAll="0"/>
    <pivotField showAll="0"/>
    <pivotField numFmtId="164" showAll="0"/>
    <pivotField numFmtId="164" showAll="0"/>
    <pivotField dataField="1" numFmtId="164" showAll="0"/>
    <pivotField numFmtId="164" showAll="0"/>
    <pivotField numFmtId="164" showAll="0"/>
    <pivotField numFmtId="164"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8"/>
  </rowFields>
  <rowItems count="5">
    <i>
      <x v="4"/>
    </i>
    <i>
      <x v="5"/>
    </i>
    <i>
      <x v="6"/>
    </i>
    <i>
      <x v="7"/>
    </i>
    <i t="grand">
      <x/>
    </i>
  </rowItems>
  <colItems count="1">
    <i/>
  </colItems>
  <dataFields count="1">
    <dataField name="Sum of Odzysk z Przecen (zł)" fld="20" baseField="0" baseItem="0" numFmtId="164"/>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2552588-BE07-461C-8E77-3325EA8E2065}" name="PivotTable10" cacheId="1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161:B166" firstHeaderRow="1" firstDataRow="1" firstDataCol="1"/>
  <pivotFields count="28">
    <pivotField showAll="0"/>
    <pivotField showAll="0"/>
    <pivotField showAll="0">
      <items count="5">
        <item m="1" x="2"/>
        <item m="1" x="3"/>
        <item x="0"/>
        <item x="1"/>
        <item t="default"/>
      </items>
    </pivotField>
    <pivotField showAll="0">
      <items count="3">
        <item x="0"/>
        <item x="1"/>
        <item t="default"/>
      </items>
    </pivotField>
    <pivotField showAll="0"/>
    <pivotField showAll="0"/>
    <pivotField numFmtId="14" showAll="0">
      <items count="7">
        <item x="0"/>
        <item x="3"/>
        <item x="2"/>
        <item x="1"/>
        <item x="4"/>
        <item x="5"/>
        <item t="default"/>
      </items>
    </pivotField>
    <pivotField showAll="0"/>
    <pivotField axis="axisRow" showAll="0">
      <items count="9">
        <item m="1" x="4"/>
        <item m="1" x="5"/>
        <item m="1" x="6"/>
        <item m="1" x="7"/>
        <item x="0"/>
        <item x="1"/>
        <item x="2"/>
        <item x="3"/>
        <item t="default"/>
      </items>
    </pivotField>
    <pivotField numFmtId="164" showAll="0"/>
    <pivotField showAll="0"/>
    <pivotField numFmtId="164" showAll="0"/>
    <pivotField showAll="0"/>
    <pivotField numFmtId="9" showAll="0"/>
    <pivotField showAll="0"/>
    <pivotField showAll="0"/>
    <pivotField showAll="0"/>
    <pivotField showAll="0"/>
    <pivotField numFmtId="164" showAll="0"/>
    <pivotField numFmtId="164" showAll="0"/>
    <pivotField numFmtId="164" showAll="0"/>
    <pivotField numFmtId="164" showAll="0"/>
    <pivotField dataField="1" numFmtId="164" showAll="0"/>
    <pivotField numFmtId="164"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8"/>
  </rowFields>
  <rowItems count="5">
    <i>
      <x v="4"/>
    </i>
    <i>
      <x v="5"/>
    </i>
    <i>
      <x v="6"/>
    </i>
    <i>
      <x v="7"/>
    </i>
    <i t="grand">
      <x/>
    </i>
  </rowItems>
  <colItems count="1">
    <i/>
  </colItems>
  <dataFields count="1">
    <dataField name="Sum of Strata Rzeczywista (zł)" fld="22" baseField="0" baseItem="0" numFmtId="164"/>
  </dataFields>
  <chartFormats count="2">
    <chartFormat chart="27" format="6" series="1">
      <pivotArea type="data" outline="0" fieldPosition="0">
        <references count="1">
          <reference field="4294967294" count="1" selected="0">
            <x v="0"/>
          </reference>
        </references>
      </pivotArea>
    </chartFormat>
    <chartFormat chart="30"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3006BF4-E872-4722-B491-26CE853B3D95}" name="P1t1" cacheId="12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5:B7" firstHeaderRow="1" firstDataRow="1" firstDataCol="1"/>
  <pivotFields count="28">
    <pivotField showAll="0"/>
    <pivotField showAll="0"/>
    <pivotField showAll="0">
      <items count="5">
        <item m="1" x="2"/>
        <item m="1" x="3"/>
        <item x="0"/>
        <item x="1"/>
        <item t="default"/>
      </items>
    </pivotField>
    <pivotField showAll="0">
      <items count="3">
        <item x="0"/>
        <item x="1"/>
        <item t="default"/>
      </items>
    </pivotField>
    <pivotField showAll="0"/>
    <pivotField showAll="0"/>
    <pivotField numFmtId="14" showAll="0">
      <items count="7">
        <item x="0"/>
        <item x="3"/>
        <item x="2"/>
        <item x="1"/>
        <item x="4"/>
        <item x="5"/>
        <item t="default"/>
      </items>
    </pivotField>
    <pivotField showAll="0"/>
    <pivotField showAll="0">
      <items count="9">
        <item m="1" x="4"/>
        <item m="1" x="5"/>
        <item m="1" x="6"/>
        <item m="1" x="7"/>
        <item x="0"/>
        <item x="1"/>
        <item x="2"/>
        <item x="3"/>
        <item t="default"/>
      </items>
    </pivotField>
    <pivotField numFmtId="164" showAll="0"/>
    <pivotField showAll="0"/>
    <pivotField numFmtId="164" showAll="0"/>
    <pivotField showAll="0"/>
    <pivotField numFmtId="9" showAll="0"/>
    <pivotField showAll="0"/>
    <pivotField showAll="0"/>
    <pivotField showAll="0"/>
    <pivotField showAll="0"/>
    <pivotField numFmtId="164" showAll="0"/>
    <pivotField numFmtId="164" showAll="0"/>
    <pivotField dataField="1" numFmtId="164" showAll="0"/>
    <pivotField dataField="1" numFmtId="164" showAll="0"/>
    <pivotField numFmtId="164" showAll="0"/>
    <pivotField numFmtId="164"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2"/>
  </rowFields>
  <rowItems count="2">
    <i>
      <x/>
    </i>
    <i i="1">
      <x v="1"/>
    </i>
  </rowItems>
  <colItems count="1">
    <i/>
  </colItems>
  <dataFields count="2">
    <dataField name="Odzysk z przecen" fld="20" baseField="0" baseItem="0" numFmtId="164"/>
    <dataField name="Odzysk bez przecen" fld="21" baseField="0" baseItem="0" numFmtId="164"/>
  </dataFields>
  <chartFormats count="6">
    <chartFormat chart="2"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1">
          <reference field="4294967294" count="1" selected="0">
            <x v="0"/>
          </reference>
        </references>
      </pivotArea>
    </chartFormat>
    <chartFormat chart="2" format="2">
      <pivotArea type="data" outline="0" fieldPosition="0">
        <references count="1">
          <reference field="4294967294" count="1" selected="0">
            <x v="0"/>
          </reference>
        </references>
      </pivotArea>
    </chartFormat>
    <chartFormat chart="5" format="8">
      <pivotArea type="data" outline="0" fieldPosition="0">
        <references count="1">
          <reference field="4294967294" count="1" selected="0">
            <x v="1"/>
          </reference>
        </references>
      </pivotArea>
    </chartFormat>
    <chartFormat chart="2" format="4">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3E5FA0C-ACA5-4A10-ADCC-286D031923C8}" name="PivotTable11" cacheId="1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81:B87" firstHeaderRow="1" firstDataRow="1" firstDataCol="1" rowPageCount="2" colPageCount="1"/>
  <pivotFields count="28">
    <pivotField showAll="0"/>
    <pivotField showAll="0"/>
    <pivotField showAll="0">
      <items count="5">
        <item m="1" x="2"/>
        <item m="1" x="3"/>
        <item x="0"/>
        <item x="1"/>
        <item t="default"/>
      </items>
    </pivotField>
    <pivotField showAll="0">
      <items count="3">
        <item x="0"/>
        <item x="1"/>
        <item t="default"/>
      </items>
    </pivotField>
    <pivotField showAll="0"/>
    <pivotField axis="axisRow" showAll="0" measureFilter="1" sortType="descending">
      <items count="9">
        <item x="3"/>
        <item x="2"/>
        <item x="0"/>
        <item x="4"/>
        <item x="7"/>
        <item x="5"/>
        <item x="1"/>
        <item x="6"/>
        <item t="default"/>
      </items>
      <autoSortScope>
        <pivotArea dataOnly="0" outline="0" fieldPosition="0">
          <references count="1">
            <reference field="4294967294" count="1" selected="0">
              <x v="0"/>
            </reference>
          </references>
        </pivotArea>
      </autoSortScope>
    </pivotField>
    <pivotField numFmtId="14" showAll="0">
      <items count="7">
        <item x="0"/>
        <item x="3"/>
        <item x="2"/>
        <item x="1"/>
        <item x="4"/>
        <item x="5"/>
        <item t="default"/>
      </items>
    </pivotField>
    <pivotField showAll="0"/>
    <pivotField showAll="0">
      <items count="9">
        <item m="1" x="4"/>
        <item m="1" x="5"/>
        <item m="1" x="6"/>
        <item m="1" x="7"/>
        <item x="0"/>
        <item x="1"/>
        <item x="2"/>
        <item x="3"/>
        <item t="default"/>
      </items>
    </pivotField>
    <pivotField numFmtId="164" showAll="0"/>
    <pivotField showAll="0"/>
    <pivotField numFmtId="164" showAll="0"/>
    <pivotField showAll="0"/>
    <pivotField numFmtId="9" showAll="0"/>
    <pivotField showAll="0"/>
    <pivotField showAll="0"/>
    <pivotField showAll="0"/>
    <pivotField showAll="0"/>
    <pivotField numFmtId="164" showAll="0"/>
    <pivotField axis="axisPage" numFmtId="164" showAll="0">
      <items count="21">
        <item x="1"/>
        <item x="13"/>
        <item x="9"/>
        <item x="12"/>
        <item x="10"/>
        <item x="7"/>
        <item m="1" x="18"/>
        <item x="4"/>
        <item m="1" x="17"/>
        <item x="11"/>
        <item x="0"/>
        <item m="1" x="15"/>
        <item x="2"/>
        <item m="1" x="19"/>
        <item x="3"/>
        <item x="5"/>
        <item x="6"/>
        <item m="1" x="16"/>
        <item x="14"/>
        <item x="8"/>
        <item t="default"/>
      </items>
    </pivotField>
    <pivotField axis="axisPage" numFmtId="164" showAll="0">
      <items count="28">
        <item x="1"/>
        <item m="1" x="20"/>
        <item x="4"/>
        <item m="1" x="18"/>
        <item m="1" x="19"/>
        <item x="10"/>
        <item m="1" x="24"/>
        <item m="1" x="25"/>
        <item x="7"/>
        <item m="1" x="26"/>
        <item x="11"/>
        <item m="1" x="15"/>
        <item m="1" x="22"/>
        <item x="2"/>
        <item x="3"/>
        <item x="5"/>
        <item m="1" x="16"/>
        <item m="1" x="23"/>
        <item m="1" x="21"/>
        <item m="1" x="17"/>
        <item x="0"/>
        <item x="6"/>
        <item x="8"/>
        <item x="9"/>
        <item x="12"/>
        <item x="13"/>
        <item x="14"/>
        <item t="default"/>
      </items>
    </pivotField>
    <pivotField numFmtId="164" showAll="0"/>
    <pivotField numFmtId="164" showAll="0"/>
    <pivotField numFmtId="164" showAll="0"/>
    <pivotField showAll="0"/>
    <pivotField showAll="0" defaultSubtotal="0"/>
    <pivotField showAll="0" defaultSubtotal="0">
      <items count="14">
        <item x="0"/>
        <item x="1"/>
        <item x="2"/>
        <item x="3"/>
        <item x="4"/>
        <item x="5"/>
        <item x="6"/>
        <item x="7"/>
        <item x="8"/>
        <item x="9"/>
        <item x="10"/>
        <item x="11"/>
        <item x="12"/>
        <item x="13"/>
      </items>
    </pivotField>
    <pivotField dataField="1" dragToRow="0" dragToCol="0" dragToPage="0" showAll="0" defaultSubtotal="0"/>
  </pivotFields>
  <rowFields count="1">
    <field x="5"/>
  </rowFields>
  <rowItems count="6">
    <i>
      <x v="6"/>
    </i>
    <i>
      <x v="1"/>
    </i>
    <i>
      <x v="7"/>
    </i>
    <i>
      <x v="2"/>
    </i>
    <i>
      <x v="4"/>
    </i>
    <i t="grand">
      <x/>
    </i>
  </rowItems>
  <colItems count="1">
    <i/>
  </colItems>
  <pageFields count="2">
    <pageField fld="20" hier="-1"/>
    <pageField fld="19" hier="-1"/>
  </pageFields>
  <dataFields count="1">
    <dataField name="Count of roi" fld="27" subtotal="count" showDataAs="percentOfTotal" baseField="5" baseItem="3" numFmtId="10"/>
  </dataFields>
  <chartFormats count="33">
    <chartFormat chart="11" format="3"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 chart="14" format="20" series="1">
      <pivotArea type="data" outline="0" fieldPosition="0">
        <references count="2">
          <reference field="4294967294" count="1" selected="0">
            <x v="0"/>
          </reference>
          <reference field="20" count="1" selected="0">
            <x v="0"/>
          </reference>
        </references>
      </pivotArea>
    </chartFormat>
    <chartFormat chart="14" format="21" series="1">
      <pivotArea type="data" outline="0" fieldPosition="0">
        <references count="2">
          <reference field="4294967294" count="1" selected="0">
            <x v="0"/>
          </reference>
          <reference field="20" count="1" selected="0">
            <x v="1"/>
          </reference>
        </references>
      </pivotArea>
    </chartFormat>
    <chartFormat chart="14" format="22" series="1">
      <pivotArea type="data" outline="0" fieldPosition="0">
        <references count="2">
          <reference field="4294967294" count="1" selected="0">
            <x v="0"/>
          </reference>
          <reference field="20" count="1" selected="0">
            <x v="2"/>
          </reference>
        </references>
      </pivotArea>
    </chartFormat>
    <chartFormat chart="14" format="23" series="1">
      <pivotArea type="data" outline="0" fieldPosition="0">
        <references count="2">
          <reference field="4294967294" count="1" selected="0">
            <x v="0"/>
          </reference>
          <reference field="20" count="1" selected="0">
            <x v="3"/>
          </reference>
        </references>
      </pivotArea>
    </chartFormat>
    <chartFormat chart="14" format="24" series="1">
      <pivotArea type="data" outline="0" fieldPosition="0">
        <references count="2">
          <reference field="4294967294" count="1" selected="0">
            <x v="0"/>
          </reference>
          <reference field="20" count="1" selected="0">
            <x v="4"/>
          </reference>
        </references>
      </pivotArea>
    </chartFormat>
    <chartFormat chart="14" format="25" series="1">
      <pivotArea type="data" outline="0" fieldPosition="0">
        <references count="2">
          <reference field="4294967294" count="1" selected="0">
            <x v="0"/>
          </reference>
          <reference field="20" count="1" selected="0">
            <x v="5"/>
          </reference>
        </references>
      </pivotArea>
    </chartFormat>
    <chartFormat chart="14" format="26" series="1">
      <pivotArea type="data" outline="0" fieldPosition="0">
        <references count="2">
          <reference field="4294967294" count="1" selected="0">
            <x v="0"/>
          </reference>
          <reference field="20" count="1" selected="0">
            <x v="6"/>
          </reference>
        </references>
      </pivotArea>
    </chartFormat>
    <chartFormat chart="14" format="27" series="1">
      <pivotArea type="data" outline="0" fieldPosition="0">
        <references count="2">
          <reference field="4294967294" count="1" selected="0">
            <x v="0"/>
          </reference>
          <reference field="20" count="1" selected="0">
            <x v="7"/>
          </reference>
        </references>
      </pivotArea>
    </chartFormat>
    <chartFormat chart="14" format="28" series="1">
      <pivotArea type="data" outline="0" fieldPosition="0">
        <references count="2">
          <reference field="4294967294" count="1" selected="0">
            <x v="0"/>
          </reference>
          <reference field="20" count="1" selected="0">
            <x v="8"/>
          </reference>
        </references>
      </pivotArea>
    </chartFormat>
    <chartFormat chart="14" format="29" series="1">
      <pivotArea type="data" outline="0" fieldPosition="0">
        <references count="2">
          <reference field="4294967294" count="1" selected="0">
            <x v="0"/>
          </reference>
          <reference field="20" count="1" selected="0">
            <x v="9"/>
          </reference>
        </references>
      </pivotArea>
    </chartFormat>
    <chartFormat chart="14" format="30" series="1">
      <pivotArea type="data" outline="0" fieldPosition="0">
        <references count="2">
          <reference field="4294967294" count="1" selected="0">
            <x v="0"/>
          </reference>
          <reference field="20" count="1" selected="0">
            <x v="10"/>
          </reference>
        </references>
      </pivotArea>
    </chartFormat>
    <chartFormat chart="14" format="31" series="1">
      <pivotArea type="data" outline="0" fieldPosition="0">
        <references count="2">
          <reference field="4294967294" count="1" selected="0">
            <x v="0"/>
          </reference>
          <reference field="20" count="1" selected="0">
            <x v="11"/>
          </reference>
        </references>
      </pivotArea>
    </chartFormat>
    <chartFormat chart="14" format="32" series="1">
      <pivotArea type="data" outline="0" fieldPosition="0">
        <references count="2">
          <reference field="4294967294" count="1" selected="0">
            <x v="0"/>
          </reference>
          <reference field="20" count="1" selected="0">
            <x v="12"/>
          </reference>
        </references>
      </pivotArea>
    </chartFormat>
    <chartFormat chart="14" format="33" series="1">
      <pivotArea type="data" outline="0" fieldPosition="0">
        <references count="2">
          <reference field="4294967294" count="1" selected="0">
            <x v="0"/>
          </reference>
          <reference field="20" count="1" selected="0">
            <x v="13"/>
          </reference>
        </references>
      </pivotArea>
    </chartFormat>
    <chartFormat chart="14" format="34" series="1">
      <pivotArea type="data" outline="0" fieldPosition="0">
        <references count="2">
          <reference field="4294967294" count="1" selected="0">
            <x v="0"/>
          </reference>
          <reference field="20" count="1" selected="0">
            <x v="14"/>
          </reference>
        </references>
      </pivotArea>
    </chartFormat>
    <chartFormat chart="11" format="16" series="1">
      <pivotArea type="data" outline="0" fieldPosition="0">
        <references count="2">
          <reference field="4294967294" count="1" selected="0">
            <x v="0"/>
          </reference>
          <reference field="20" count="1" selected="0">
            <x v="0"/>
          </reference>
        </references>
      </pivotArea>
    </chartFormat>
    <chartFormat chart="11" format="17" series="1">
      <pivotArea type="data" outline="0" fieldPosition="0">
        <references count="2">
          <reference field="4294967294" count="1" selected="0">
            <x v="0"/>
          </reference>
          <reference field="20" count="1" selected="0">
            <x v="1"/>
          </reference>
        </references>
      </pivotArea>
    </chartFormat>
    <chartFormat chart="11" format="18" series="1">
      <pivotArea type="data" outline="0" fieldPosition="0">
        <references count="2">
          <reference field="4294967294" count="1" selected="0">
            <x v="0"/>
          </reference>
          <reference field="20" count="1" selected="0">
            <x v="2"/>
          </reference>
        </references>
      </pivotArea>
    </chartFormat>
    <chartFormat chart="11" format="19" series="1">
      <pivotArea type="data" outline="0" fieldPosition="0">
        <references count="2">
          <reference field="4294967294" count="1" selected="0">
            <x v="0"/>
          </reference>
          <reference field="20" count="1" selected="0">
            <x v="3"/>
          </reference>
        </references>
      </pivotArea>
    </chartFormat>
    <chartFormat chart="11" format="20" series="1">
      <pivotArea type="data" outline="0" fieldPosition="0">
        <references count="2">
          <reference field="4294967294" count="1" selected="0">
            <x v="0"/>
          </reference>
          <reference field="20" count="1" selected="0">
            <x v="4"/>
          </reference>
        </references>
      </pivotArea>
    </chartFormat>
    <chartFormat chart="11" format="21" series="1">
      <pivotArea type="data" outline="0" fieldPosition="0">
        <references count="2">
          <reference field="4294967294" count="1" selected="0">
            <x v="0"/>
          </reference>
          <reference field="20" count="1" selected="0">
            <x v="5"/>
          </reference>
        </references>
      </pivotArea>
    </chartFormat>
    <chartFormat chart="11" format="22" series="1">
      <pivotArea type="data" outline="0" fieldPosition="0">
        <references count="2">
          <reference field="4294967294" count="1" selected="0">
            <x v="0"/>
          </reference>
          <reference field="20" count="1" selected="0">
            <x v="6"/>
          </reference>
        </references>
      </pivotArea>
    </chartFormat>
    <chartFormat chart="11" format="23" series="1">
      <pivotArea type="data" outline="0" fieldPosition="0">
        <references count="2">
          <reference field="4294967294" count="1" selected="0">
            <x v="0"/>
          </reference>
          <reference field="20" count="1" selected="0">
            <x v="7"/>
          </reference>
        </references>
      </pivotArea>
    </chartFormat>
    <chartFormat chart="11" format="24" series="1">
      <pivotArea type="data" outline="0" fieldPosition="0">
        <references count="2">
          <reference field="4294967294" count="1" selected="0">
            <x v="0"/>
          </reference>
          <reference field="20" count="1" selected="0">
            <x v="8"/>
          </reference>
        </references>
      </pivotArea>
    </chartFormat>
    <chartFormat chart="11" format="25" series="1">
      <pivotArea type="data" outline="0" fieldPosition="0">
        <references count="2">
          <reference field="4294967294" count="1" selected="0">
            <x v="0"/>
          </reference>
          <reference field="20" count="1" selected="0">
            <x v="9"/>
          </reference>
        </references>
      </pivotArea>
    </chartFormat>
    <chartFormat chart="11" format="26" series="1">
      <pivotArea type="data" outline="0" fieldPosition="0">
        <references count="2">
          <reference field="4294967294" count="1" selected="0">
            <x v="0"/>
          </reference>
          <reference field="20" count="1" selected="0">
            <x v="10"/>
          </reference>
        </references>
      </pivotArea>
    </chartFormat>
    <chartFormat chart="11" format="27" series="1">
      <pivotArea type="data" outline="0" fieldPosition="0">
        <references count="2">
          <reference field="4294967294" count="1" selected="0">
            <x v="0"/>
          </reference>
          <reference field="20" count="1" selected="0">
            <x v="11"/>
          </reference>
        </references>
      </pivotArea>
    </chartFormat>
    <chartFormat chart="11" format="28" series="1">
      <pivotArea type="data" outline="0" fieldPosition="0">
        <references count="2">
          <reference field="4294967294" count="1" selected="0">
            <x v="0"/>
          </reference>
          <reference field="20" count="1" selected="0">
            <x v="12"/>
          </reference>
        </references>
      </pivotArea>
    </chartFormat>
    <chartFormat chart="11" format="29" series="1">
      <pivotArea type="data" outline="0" fieldPosition="0">
        <references count="2">
          <reference field="4294967294" count="1" selected="0">
            <x v="0"/>
          </reference>
          <reference field="20" count="1" selected="0">
            <x v="13"/>
          </reference>
        </references>
      </pivotArea>
    </chartFormat>
    <chartFormat chart="11" format="30" series="1">
      <pivotArea type="data" outline="0" fieldPosition="0">
        <references count="2">
          <reference field="4294967294" count="1" selected="0">
            <x v="0"/>
          </reference>
          <reference field="20" count="1" selected="0">
            <x v="14"/>
          </reference>
        </references>
      </pivotArea>
    </chartFormat>
    <chartFormat chart="18" format="3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1BDC7CA-5E1A-49F0-985F-21C30CADBB15}" name="PivotTable8" cacheId="12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J10:J11" firstHeaderRow="1" firstDataRow="1" firstDataCol="0"/>
  <pivotFields count="28">
    <pivotField showAll="0"/>
    <pivotField showAll="0"/>
    <pivotField showAll="0">
      <items count="5">
        <item m="1" x="2"/>
        <item m="1" x="3"/>
        <item x="0"/>
        <item x="1"/>
        <item t="default"/>
      </items>
    </pivotField>
    <pivotField showAll="0">
      <items count="3">
        <item x="0"/>
        <item x="1"/>
        <item t="default"/>
      </items>
    </pivotField>
    <pivotField showAll="0"/>
    <pivotField showAll="0"/>
    <pivotField numFmtId="14" showAll="0">
      <items count="7">
        <item x="0"/>
        <item x="3"/>
        <item x="2"/>
        <item x="1"/>
        <item x="4"/>
        <item x="5"/>
        <item t="default"/>
      </items>
    </pivotField>
    <pivotField showAll="0"/>
    <pivotField showAll="0">
      <items count="9">
        <item m="1" x="4"/>
        <item m="1" x="5"/>
        <item m="1" x="6"/>
        <item m="1" x="7"/>
        <item x="0"/>
        <item x="1"/>
        <item x="2"/>
        <item x="3"/>
        <item t="default"/>
      </items>
    </pivotField>
    <pivotField numFmtId="164" showAll="0"/>
    <pivotField showAll="0"/>
    <pivotField numFmtId="164" showAll="0"/>
    <pivotField showAll="0"/>
    <pivotField numFmtId="9" showAll="0"/>
    <pivotField showAll="0"/>
    <pivotField showAll="0"/>
    <pivotField showAll="0"/>
    <pivotField showAll="0"/>
    <pivotField dataField="1" numFmtId="164" showAll="0"/>
    <pivotField numFmtId="164" showAll="0"/>
    <pivotField numFmtId="164" showAll="0"/>
    <pivotField numFmtId="164" showAll="0"/>
    <pivotField numFmtId="164" showAll="0"/>
    <pivotField numFmtId="164"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Items count="1">
    <i/>
  </rowItems>
  <colItems count="1">
    <i/>
  </colItems>
  <dataFields count="1">
    <dataField name="Sum of Odzysk Rzeczywisty (zł)" fld="18" baseField="0" baseItem="0" numFmtId="164"/>
  </dataFields>
  <formats count="1">
    <format dxfId="9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98566E0-54C0-4AB1-8280-CC57D521E10E}" name="P1t2" cacheId="1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8:C23" firstHeaderRow="0" firstDataRow="1" firstDataCol="1"/>
  <pivotFields count="28">
    <pivotField showAll="0"/>
    <pivotField showAll="0"/>
    <pivotField showAll="0">
      <items count="5">
        <item m="1" x="2"/>
        <item m="1" x="3"/>
        <item x="0"/>
        <item x="1"/>
        <item t="default"/>
      </items>
    </pivotField>
    <pivotField showAll="0">
      <items count="3">
        <item x="0"/>
        <item x="1"/>
        <item t="default"/>
      </items>
    </pivotField>
    <pivotField showAll="0"/>
    <pivotField showAll="0"/>
    <pivotField numFmtId="14" showAll="0">
      <items count="7">
        <item x="0"/>
        <item x="3"/>
        <item x="2"/>
        <item x="1"/>
        <item x="4"/>
        <item x="5"/>
        <item t="default"/>
      </items>
    </pivotField>
    <pivotField showAll="0"/>
    <pivotField axis="axisRow" showAll="0">
      <items count="9">
        <item m="1" x="4"/>
        <item m="1" x="5"/>
        <item m="1" x="6"/>
        <item m="1" x="7"/>
        <item x="0"/>
        <item x="1"/>
        <item x="2"/>
        <item x="3"/>
        <item t="default"/>
      </items>
    </pivotField>
    <pivotField numFmtId="164" showAll="0"/>
    <pivotField showAll="0"/>
    <pivotField numFmtId="164" showAll="0"/>
    <pivotField showAll="0"/>
    <pivotField numFmtId="9" showAll="0"/>
    <pivotField showAll="0"/>
    <pivotField showAll="0"/>
    <pivotField showAll="0"/>
    <pivotField showAll="0"/>
    <pivotField dataField="1" numFmtId="164" showAll="0"/>
    <pivotField numFmtId="164" showAll="0"/>
    <pivotField numFmtId="164" showAll="0"/>
    <pivotField numFmtId="164" showAll="0"/>
    <pivotField numFmtId="164" showAll="0"/>
    <pivotField dataField="1" numFmtId="164"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8"/>
  </rowFields>
  <rowItems count="5">
    <i>
      <x v="4"/>
    </i>
    <i>
      <x v="5"/>
    </i>
    <i>
      <x v="6"/>
    </i>
    <i>
      <x v="7"/>
    </i>
    <i t="grand">
      <x/>
    </i>
  </rowItems>
  <colFields count="1">
    <field x="-2"/>
  </colFields>
  <colItems count="2">
    <i>
      <x/>
    </i>
    <i i="1">
      <x v="1"/>
    </i>
  </colItems>
  <dataFields count="2">
    <dataField name="Odzysk rzeczywisty" fld="18" baseField="8" baseItem="4" numFmtId="164"/>
    <dataField name="Łączne koszty strat i przecen" fld="23" baseField="8" baseItem="4"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lep1" xr10:uid="{27158662-FD47-4566-8F6E-3C2474DB5F67}" sourceName="Sklep">
  <pivotTables>
    <pivotTable tabId="6" name="P1t2"/>
    <pivotTable tabId="6" name="P1t1"/>
    <pivotTable tabId="6" name="PivotTable7"/>
    <pivotTable tabId="6" name="PivotTable8"/>
    <pivotTable tabId="6" name="PivotTable9"/>
    <pivotTable tabId="6" name="PivotTable3"/>
    <pivotTable tabId="6" name="PivotTable4"/>
    <pivotTable tabId="6" name="PivotTable5"/>
    <pivotTable tabId="6" name="PivotTable6"/>
    <pivotTable tabId="6" name="PivotTable11"/>
    <pivotTable tabId="6" name="PivotTable12"/>
    <pivotTable tabId="6" name="PivotTable1"/>
    <pivotTable tabId="6" name="PivotTable2"/>
    <pivotTable tabId="6" name="PivotTable10"/>
    <pivotTable tabId="6" name="PivotTable14"/>
    <pivotTable tabId="6" name="PivotTable15"/>
    <pivotTable tabId="6" name="PivotTable16"/>
  </pivotTables>
  <data>
    <tabular pivotCacheId="459072624">
      <items count="4">
        <i x="0" s="1"/>
        <i x="1" s="1"/>
        <i x="2" s="1" nd="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a1" xr10:uid="{1D3EFAB7-8C0E-472D-B9B0-A5D0025954E4}" sourceName="Marka">
  <pivotTables>
    <pivotTable tabId="6" name="P1t2"/>
    <pivotTable tabId="6" name="P1t1"/>
    <pivotTable tabId="6" name="PivotTable7"/>
    <pivotTable tabId="6" name="PivotTable8"/>
    <pivotTable tabId="6" name="PivotTable9"/>
    <pivotTable tabId="6" name="PivotTable3"/>
    <pivotTable tabId="6" name="PivotTable4"/>
    <pivotTable tabId="6" name="PivotTable5"/>
    <pivotTable tabId="6" name="PivotTable6"/>
    <pivotTable tabId="6" name="PivotTable11"/>
    <pivotTable tabId="6" name="PivotTable12"/>
    <pivotTable tabId="6" name="PivotTable1"/>
    <pivotTable tabId="6" name="PivotTable2"/>
    <pivotTable tabId="6" name="PivotTable10"/>
    <pivotTable tabId="6" name="PivotTable14"/>
    <pivotTable tabId="6" name="PivotTable15"/>
    <pivotTable tabId="6" name="PivotTable16"/>
  </pivotTables>
  <data>
    <tabular pivotCacheId="45907262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er_Miesiąca1" xr10:uid="{4EE0401A-80A1-4B0A-84CD-C186A913E5E1}" sourceName="Numer Miesiąca">
  <pivotTables>
    <pivotTable tabId="6" name="P1t2"/>
    <pivotTable tabId="6" name="P1t1"/>
    <pivotTable tabId="6" name="PivotTable7"/>
    <pivotTable tabId="6" name="PivotTable8"/>
    <pivotTable tabId="6" name="PivotTable9"/>
    <pivotTable tabId="6" name="PivotTable3"/>
    <pivotTable tabId="6" name="PivotTable4"/>
    <pivotTable tabId="6" name="PivotTable5"/>
    <pivotTable tabId="6" name="PivotTable6"/>
    <pivotTable tabId="6" name="PivotTable11"/>
    <pivotTable tabId="6" name="PivotTable12"/>
    <pivotTable tabId="6" name="PivotTable1"/>
    <pivotTable tabId="6" name="PivotTable2"/>
    <pivotTable tabId="6" name="PivotTable10"/>
    <pivotTable tabId="6" name="PivotTable14"/>
    <pivotTable tabId="6" name="PivotTable15"/>
    <pivotTable tabId="6" name="PivotTable16"/>
  </pivotTables>
  <data>
    <tabular pivotCacheId="459072624">
      <items count="8">
        <i x="0" s="1"/>
        <i x="1" s="1"/>
        <i x="2" s="1"/>
        <i x="3" s="1"/>
        <i x="4" s="1" nd="1"/>
        <i x="5" s="1" nd="1"/>
        <i x="6" s="1" nd="1"/>
        <i x="7"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klep 2" xr10:uid="{302A75FE-0C48-4362-AE48-6529FF2D090F}" cache="Slicer_Sklep1" caption="Sklep" rowHeight="257175"/>
  <slicer name="Marka 2" xr10:uid="{4CFD4CEB-7523-4622-B8C0-88C296D1317D}" cache="Slicer_Marka1" caption="Marka" rowHeight="257175"/>
  <slicer name="Numer Miesiąca" xr10:uid="{FD8E2B57-E674-47BC-8EE9-3E4B9D9C5041}" cache="Slicer_Numer_Miesiąca1" caption="Numer Miesiąca"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klep 3" xr10:uid="{E106D4BB-8D70-48EE-8DFD-621C68B57B4A}" cache="Slicer_Sklep1" caption="Sklep" style="my_style" rowHeight="257175"/>
  <slicer name="Marka 3" xr10:uid="{97024D2C-1926-44B0-B7FA-BC74DA881007}" cache="Slicer_Marka1" caption="Marka" style="my_style" rowHeight="257175"/>
  <slicer name="Numer Miesiąca 1" xr10:uid="{9B09F91D-4AEE-48FB-A6B1-788295789740}" cache="Slicer_Numer_Miesiąca1" caption="Miesiąc" style="my_style"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klep 4" xr10:uid="{E78A87E6-EE45-45A8-84DF-D9C45C44FD39}" cache="Slicer_Sklep1" caption="Sklep" style="my_style" rowHeight="257175"/>
  <slicer name="Marka 4" xr10:uid="{E226E133-673F-443C-8A7C-CB04C317B69B}" cache="Slicer_Marka1" caption="Marka" style="my_style" rowHeight="257175"/>
  <slicer name="Numer Miesiąca 2" xr10:uid="{D6688422-99F9-4D85-8C64-538246402E5F}" cache="Slicer_Numer_Miesiąca1" caption="Miesiąc" style="my_style"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klep 6" xr10:uid="{618190F8-BCB8-4135-949B-70C2EBA12871}" cache="Slicer_Sklep1" caption="Sklep" style="my_style" rowHeight="257175"/>
  <slicer name="Marka 6" xr10:uid="{8899A587-C1A9-45D3-AA15-2D3C8EC3A51F}" cache="Slicer_Marka1" caption="Marka" style="my_style" rowHeight="257175"/>
  <slicer name="Numer Miesiąca 4" xr10:uid="{4E7D99FD-A788-4F45-88C7-A16BFA1AE325}" cache="Slicer_Numer_Miesiąca1" caption="Miesiąc" style="my_styl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62784B-16F1-4AA5-9A4C-C63B0A86777C}" name="Table1" displayName="Table1" ref="A1:W26" totalsRowShown="0">
  <autoFilter ref="A1:W26" xr:uid="{F462784B-16F1-4AA5-9A4C-C63B0A86777C}"/>
  <tableColumns count="23">
    <tableColumn id="1" xr3:uid="{0B60E231-5056-43DD-A022-ABE28CB187B0}" name="Data Audytu" dataDxfId="138"/>
    <tableColumn id="18" xr3:uid="{FF8188D4-9EC1-4F4C-A8FB-D55DEFCDCA81}" name="Data Audytu2" dataDxfId="137"/>
    <tableColumn id="3" xr3:uid="{295BC16A-E7FA-49C1-B7B8-8F108EB6A2D1}" name="Sklep"/>
    <tableColumn id="4" xr3:uid="{07B75207-44A2-4021-BD53-396F96587F07}" name="Marka"/>
    <tableColumn id="5" xr3:uid="{1045103C-2497-4220-8834-F51A3E0C6730}" name="Nazwa Produktu "/>
    <tableColumn id="17" xr3:uid="{5E8BA528-D85E-4C55-B5FD-300B399652F4}" name="Kategoria"/>
    <tableColumn id="6" xr3:uid="{C777D107-0260-4FD2-8248-BD44A0FE13FF}" name="Data Ważności" dataDxfId="136"/>
    <tableColumn id="7" xr3:uid="{8AC4D084-0FAF-4506-A7B4-906600EED37C}" name="Cena (zł)" dataDxfId="135"/>
    <tableColumn id="8" xr3:uid="{7D41AECE-9476-4A3A-9D3A-B1DA745D4A77}" name="Wykryto (szt.)"/>
    <tableColumn id="9" xr3:uid="{E21622F2-B726-4100-91C6-0D01EEE9E44A}" name="Wartość Zagrożona (zł)" dataDxfId="134">
      <calculatedColumnFormula>Table1[[#This Row],[Cena (zł)]]*Table1[[#This Row],[Wykryto (szt.)]]</calculatedColumnFormula>
    </tableColumn>
    <tableColumn id="19" xr3:uid="{E21580E3-A151-4D5D-9C60-6945C10A70B8}" name="Pozostało (szt.)" dataDxfId="133"/>
    <tableColumn id="10" xr3:uid="{65446234-16A7-421F-846F-9CC74588918F}" name="Przecena (%)" dataDxfId="132" dataCellStyle="Per cent"/>
    <tableColumn id="11" xr3:uid="{E9348F1E-E2D7-4AD2-A0AE-0C28A30545AA}" name="Przeterminowane (szt.)"/>
    <tableColumn id="2" xr3:uid="{8EBA3946-4332-48C7-B011-24C5B1EA66C6}" name="Uratowane bez Przeceny (szt.)">
      <calculatedColumnFormula>IF(Table1[[#This Row],[Przecena (%)]]&gt;0,Table1[[#This Row],[Wykryto (szt.)]]-Table1[[#This Row],[Pozostało (szt.)]],Table1[[#This Row],[Wykryto (szt.)]]-Table1[[#This Row],[Przeterminowane (szt.)]])</calculatedColumnFormula>
    </tableColumn>
    <tableColumn id="20" xr3:uid="{346967F8-3905-496A-B2EA-76EFE3BF7485}" name="Uratowane z Przeceną (szt.)">
      <calculatedColumnFormula>IF(Table1[[#This Row],[Przecena (%)]]&gt;0,Table1[[#This Row],[Pozostało (szt.)]]-Table1[[#This Row],[Przeterminowane (szt.)]],0)</calculatedColumnFormula>
    </tableColumn>
    <tableColumn id="12" xr3:uid="{53C4C011-4FC5-4CEA-A754-F15EECCAF930}" name="Uratowane Łącznie (szt.)">
      <calculatedColumnFormula>Table1[[#This Row],[Wykryto (szt.)]]-Table1[[#This Row],[Przeterminowane (szt.)]]</calculatedColumnFormula>
    </tableColumn>
    <tableColumn id="21" xr3:uid="{831AAD79-3A81-4206-B371-C7D41C93C9DD}" name="Odzysk bez Przecen (zł)">
      <calculatedColumnFormula>Table1[[#This Row],[Uratowane bez Przeceny (szt.)]]*Table1[[#This Row],[Cena (zł)]]</calculatedColumnFormula>
    </tableColumn>
    <tableColumn id="22" xr3:uid="{424561B7-21C7-41EC-A5A5-F93B1D1D7C54}" name="Odzysk z Przecen (zł)">
      <calculatedColumnFormula>Table1[[#This Row],[Uratowane z Przeceną (szt.)]]*Table1[[#This Row],[Cena (zł)]]*(1-Table1[[#This Row],[Przecena (%)]])</calculatedColumnFormula>
    </tableColumn>
    <tableColumn id="13" xr3:uid="{99D1303E-0824-49B9-B2A6-56AB3E6DE99F}" name="Odzysk Rzeczywisty (zł)" dataDxfId="131">
      <calculatedColumnFormula>(Table1[[#This Row],[Cena (zł)]]*Table1[[#This Row],[Wykryto (szt.)]])-Table1[[#This Row],[Koszt Przecen (zł)]]-Table1[[#This Row],[Strata Rzeczywista (zł)]]</calculatedColumnFormula>
    </tableColumn>
    <tableColumn id="14" xr3:uid="{04E66644-6532-45A1-B0CD-A61BF3AB6444}" name="Koszt Przecen (zł)" dataDxfId="130">
      <calculatedColumnFormula>Table1[[#This Row],[Cena (zł)]]*Table1[[#This Row],[Uratowane z Przeceną (szt.)]]*Table1[[#This Row],[Przecena (%)]]</calculatedColumnFormula>
    </tableColumn>
    <tableColumn id="15" xr3:uid="{5653A62A-5D1C-4E5F-B8E9-3A1CDBB046E2}" name="Strata Rzeczywista (zł)" dataDxfId="129">
      <calculatedColumnFormula>Table1[[#This Row],[Cena (zł)]]*Table1[[#This Row],[Przeterminowane (szt.)]]</calculatedColumnFormula>
    </tableColumn>
    <tableColumn id="23" xr3:uid="{D7589830-8171-40AE-A215-6CA8B9DB1AD1}" name="Łączne Koszty Strat i Rabatów (zł)" dataDxfId="128">
      <calculatedColumnFormula>Table1[[#This Row],[Koszt Przecen (zł)]]+Table1[[#This Row],[Strata Rzeczywista (zł)]]</calculatedColumnFormula>
    </tableColumn>
    <tableColumn id="16" xr3:uid="{78A942A8-AE62-4F8E-8987-B0F3A731B578}" name="Uwagi " dataDxfId="127"/>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99023D6-3F76-4817-8005-9528FF2FFE9A}" name="Table3" displayName="Table3" ref="A1:Y26" totalsRowShown="0" headerRowDxfId="126" dataDxfId="125" tableBorderDxfId="124">
  <autoFilter ref="A1:Y26" xr:uid="{E99023D6-3F76-4817-8005-9528FF2FFE9A}"/>
  <tableColumns count="25">
    <tableColumn id="1" xr3:uid="{3CFE645B-CF4C-4285-ADAB-88444D73DF4E}" name="Data Audytu" dataDxfId="123"/>
    <tableColumn id="2" xr3:uid="{68B6BA95-5C4A-492F-A292-A19A64D4EF8A}" name="Data Audytu2" dataDxfId="122"/>
    <tableColumn id="3" xr3:uid="{51E8EE36-1DA3-417E-A3F2-31E2EA86014D}" name="Sklep" dataDxfId="121"/>
    <tableColumn id="4" xr3:uid="{E292FB56-C42B-4857-A13C-753CFC2A67D6}" name="Marka" dataDxfId="120"/>
    <tableColumn id="5" xr3:uid="{42931A53-CFA4-4986-B94C-4774539403F3}" name="Nazwa Produktu " dataDxfId="119"/>
    <tableColumn id="6" xr3:uid="{388D4A63-5D62-49C6-8A51-73D2F74CE5A8}" name="Kategoria" dataDxfId="118"/>
    <tableColumn id="7" xr3:uid="{AC97FD30-A3BD-4E70-98C4-52D1A4ACF98A}" name="Data Ważności" dataDxfId="117"/>
    <tableColumn id="24" xr3:uid="{9DFB6FB2-3E06-4485-A508-B6B1ED7D493A}" name="Miesiąc Ważności(PL)" dataDxfId="116">
      <calculatedColumnFormula>TEXT(G2, "[$-pl-PL]mmmm")</calculatedColumnFormula>
    </tableColumn>
    <tableColumn id="25" xr3:uid="{45A1F1D6-CAD8-403F-831B-E4AE0CEC3F6F}" name="Numer Miesiąca" dataDxfId="115">
      <calculatedColumnFormula>ROMAN(MONTH(G2))</calculatedColumnFormula>
    </tableColumn>
    <tableColumn id="8" xr3:uid="{BA67FCF0-3AF4-45A8-A75B-C7B551F3DBB6}" name="Cena (zł)" dataDxfId="114"/>
    <tableColumn id="9" xr3:uid="{13D3AF7D-1EE6-4F49-8931-2CEE59EC633A}" name="Wykryto (szt.)" dataDxfId="113"/>
    <tableColumn id="10" xr3:uid="{8ED65D94-0BBC-4761-AFE6-005118B9EF31}" name="Wartość Zagrożona (zł)" dataDxfId="112">
      <calculatedColumnFormula>Table1[[#This Row],[Cena (zł)]]*Table1[[#This Row],[Wykryto (szt.)]]</calculatedColumnFormula>
    </tableColumn>
    <tableColumn id="11" xr3:uid="{D15DC10A-DA02-4ECE-89EF-F7FCE321E6B7}" name="Pozostało (szt.)" dataDxfId="111"/>
    <tableColumn id="12" xr3:uid="{609AE159-0D20-4B3B-AC47-B359C028DBEC}" name="Przecena  (%)" dataDxfId="110" dataCellStyle="Per cent"/>
    <tableColumn id="13" xr3:uid="{2AF27372-9C6B-4B60-B2DC-B3157E4E9B00}" name="Przeterminowane (szt.)" dataDxfId="109"/>
    <tableColumn id="31" xr3:uid="{8018E21A-15C4-4A08-9480-AB2FA183FF66}" name="Uratowane bez przeceny (szt.)" dataDxfId="108">
      <calculatedColumnFormula>IF(Table3[[#This Row],[Przecena  (%)]]&gt;0,Table3[[#This Row],[Wykryto (szt.)]]-Table3[[#This Row],[Pozostało (szt.)]],Table3[[#This Row],[Wykryto (szt.)]]-Table3[[#This Row],[Przeterminowane (szt.)]])</calculatedColumnFormula>
    </tableColumn>
    <tableColumn id="30" xr3:uid="{89AEDDB4-76D3-43E7-8D1F-EA82162F0A76}" name="Uratowane z przeceną (szt.)" dataDxfId="107">
      <calculatedColumnFormula>IF(Table3[[#This Row],[Przecena  (%)]]&gt;0,Table3[[#This Row],[Pozostało (szt.)]]-Table3[[#This Row],[Przeterminowane (szt.)]],0)</calculatedColumnFormula>
    </tableColumn>
    <tableColumn id="14" xr3:uid="{D3F709AC-75A0-406F-9AF3-AE167406B50D}" name="Uratowane Łącznie(szt.)" dataDxfId="106">
      <calculatedColumnFormula>Table3[[#This Row],[Wykryto (szt.)]]-Table3[[#This Row],[Przeterminowane (szt.)]]</calculatedColumnFormula>
    </tableColumn>
    <tableColumn id="15" xr3:uid="{456CA44C-33CE-4D27-82AC-D00388A2090D}" name="Odzysk Rzeczywisty (zł)" dataDxfId="105">
      <calculatedColumnFormula>Table3[[#This Row],[Odzysk z Przecen (zł)]]+Table3[[#This Row],[Odzysk bez Przecen (zł)]]</calculatedColumnFormula>
    </tableColumn>
    <tableColumn id="16" xr3:uid="{B8C4CBAD-5EF6-4E9E-B7DD-34DA6E29408D}" name="Koszt Przeceny (zł)" dataDxfId="104">
      <calculatedColumnFormula>Table3[[#This Row],[Cena (zł)]]*Table3[[#This Row],[Uratowane z przeceną (szt.)]]*Table3[[#This Row],[Przecena  (%)]]</calculatedColumnFormula>
    </tableColumn>
    <tableColumn id="27" xr3:uid="{A90F2FE7-C1C6-40EF-A23D-2C71A8FD79BE}" name="Odzysk z Przecen (zł)" dataDxfId="103">
      <calculatedColumnFormula>Table3[[#This Row],[Uratowane z przeceną (szt.)]]*Table3[[#This Row],[Cena (zł)]]*(1-Table3[[#This Row],[Przecena  (%)]])</calculatedColumnFormula>
    </tableColumn>
    <tableColumn id="29" xr3:uid="{39F072C9-1137-42F7-AAD5-96A6C86877AF}" name="Odzysk bez Przecen (zł)" dataDxfId="102">
      <calculatedColumnFormula>Table3[[#This Row],[Uratowane bez przeceny (szt.)]] * Table3[[#This Row],[Cena (zł)]]</calculatedColumnFormula>
    </tableColumn>
    <tableColumn id="17" xr3:uid="{D0D7B038-CCB9-48EE-82CE-FFD8A3C537AF}" name="Strata Rzeczywista (zł)" dataDxfId="101">
      <calculatedColumnFormula>Table3[[#This Row],[Cena (zł)]]*Table3[[#This Row],[Przeterminowane (szt.)]]</calculatedColumnFormula>
    </tableColumn>
    <tableColumn id="22" xr3:uid="{F8FEB5A7-3765-49C4-AD9E-353694042C02}" name="Łączne koszty strat i rabatów (zł)" dataDxfId="100">
      <calculatedColumnFormula>Table3[[#This Row],[Koszt Przeceny (zł)]]+Table3[[#This Row],[Strata Rzeczywista (zł)]]</calculatedColumnFormula>
    </tableColumn>
    <tableColumn id="18" xr3:uid="{B5F7B53E-C2A5-4529-9D50-07FEF574D4B6}" name="Uwagi " dataDxfId="99"/>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BB7880-7A9B-4D7E-B62E-AF3C805A388E}" name="Table2" displayName="Table2" ref="A2:D19" totalsRowShown="0">
  <autoFilter ref="A2:D19" xr:uid="{F2BB7880-7A9B-4D7E-B62E-AF3C805A388E}"/>
  <tableColumns count="4">
    <tableColumn id="1" xr3:uid="{7BD6B5A1-6ED9-4B1F-8C58-062F7940217F}" name="Sklep"/>
    <tableColumn id="2" xr3:uid="{876EA83E-54EA-499E-A273-77B74FB38301}" name="Marka"/>
    <tableColumn id="3" xr3:uid="{F7BA2318-9B13-402C-ACC6-EE82832FC441}" name="Kategoria"/>
    <tableColumn id="4" xr3:uid="{6B4AE469-5232-4E28-A2D3-96A0282B3A1F}" name="Uwagi"/>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7EA31-C70B-4A61-9E1D-1D1B68DE66C1}">
  <dimension ref="A1:W40"/>
  <sheetViews>
    <sheetView topLeftCell="H1" zoomScale="70" zoomScaleNormal="70" workbookViewId="0">
      <selection activeCell="V32" sqref="V32"/>
    </sheetView>
  </sheetViews>
  <sheetFormatPr defaultRowHeight="15" x14ac:dyDescent="0.25"/>
  <cols>
    <col min="1" max="1" width="18.85546875" bestFit="1" customWidth="1"/>
    <col min="2" max="2" width="20.5703125" bestFit="1" customWidth="1"/>
    <col min="3" max="3" width="23.85546875" bestFit="1" customWidth="1"/>
    <col min="4" max="4" width="24" bestFit="1" customWidth="1"/>
    <col min="5" max="5" width="31.85546875" bestFit="1" customWidth="1"/>
    <col min="6" max="6" width="17" customWidth="1"/>
    <col min="7" max="7" width="16.5703125" bestFit="1" customWidth="1"/>
    <col min="8" max="8" width="12.7109375" bestFit="1" customWidth="1"/>
    <col min="9" max="9" width="15.85546875" bestFit="1" customWidth="1"/>
    <col min="10" max="10" width="23.85546875" bestFit="1" customWidth="1"/>
    <col min="11" max="11" width="23.85546875" customWidth="1"/>
    <col min="12" max="12" width="13.42578125" bestFit="1" customWidth="1"/>
    <col min="13" max="13" width="31.42578125" bestFit="1" customWidth="1"/>
    <col min="14" max="15" width="31.42578125" customWidth="1"/>
    <col min="16" max="18" width="23.28515625" customWidth="1"/>
    <col min="19" max="19" width="24.7109375" bestFit="1" customWidth="1"/>
    <col min="20" max="20" width="23.28515625" customWidth="1"/>
    <col min="21" max="21" width="23.42578125" bestFit="1" customWidth="1"/>
    <col min="22" max="22" width="23.42578125" customWidth="1"/>
    <col min="23" max="23" width="29.85546875" bestFit="1" customWidth="1"/>
    <col min="24" max="24" width="16.42578125" customWidth="1"/>
  </cols>
  <sheetData>
    <row r="1" spans="1:23" x14ac:dyDescent="0.25">
      <c r="A1" s="4" t="s">
        <v>1</v>
      </c>
      <c r="B1" s="4" t="s">
        <v>66</v>
      </c>
      <c r="C1" t="s">
        <v>2</v>
      </c>
      <c r="D1" t="s">
        <v>11</v>
      </c>
      <c r="E1" t="s">
        <v>12</v>
      </c>
      <c r="F1" t="s">
        <v>23</v>
      </c>
      <c r="G1" s="4" t="s">
        <v>3</v>
      </c>
      <c r="H1" s="2" t="s">
        <v>13</v>
      </c>
      <c r="I1" t="s">
        <v>6</v>
      </c>
      <c r="J1" s="2" t="s">
        <v>4</v>
      </c>
      <c r="K1" t="s">
        <v>67</v>
      </c>
      <c r="L1" s="3" t="s">
        <v>107</v>
      </c>
      <c r="M1" t="s">
        <v>7</v>
      </c>
      <c r="N1" t="s">
        <v>103</v>
      </c>
      <c r="O1" t="s">
        <v>104</v>
      </c>
      <c r="P1" t="s">
        <v>105</v>
      </c>
      <c r="Q1" t="s">
        <v>98</v>
      </c>
      <c r="R1" t="s">
        <v>79</v>
      </c>
      <c r="S1" s="2" t="s">
        <v>8</v>
      </c>
      <c r="T1" s="2" t="s">
        <v>108</v>
      </c>
      <c r="U1" s="2" t="s">
        <v>9</v>
      </c>
      <c r="V1" s="2" t="s">
        <v>106</v>
      </c>
      <c r="W1" t="s">
        <v>10</v>
      </c>
    </row>
    <row r="2" spans="1:23" x14ac:dyDescent="0.25">
      <c r="A2" s="4" t="s">
        <v>64</v>
      </c>
      <c r="B2" s="4" t="s">
        <v>65</v>
      </c>
      <c r="C2" t="s">
        <v>111</v>
      </c>
      <c r="D2" t="s">
        <v>18</v>
      </c>
      <c r="E2" t="s">
        <v>61</v>
      </c>
      <c r="F2" t="s">
        <v>26</v>
      </c>
      <c r="G2" s="4">
        <v>46142</v>
      </c>
      <c r="H2" s="2">
        <v>4.79</v>
      </c>
      <c r="I2">
        <v>16</v>
      </c>
      <c r="J2" s="2">
        <f>Table1[[#This Row],[Cena (zł)]]*Table1[[#This Row],[Wykryto (szt.)]]</f>
        <v>76.64</v>
      </c>
      <c r="K2">
        <v>12</v>
      </c>
      <c r="L2" s="3">
        <v>0.2</v>
      </c>
      <c r="M2">
        <v>0</v>
      </c>
      <c r="N2">
        <f>IF(Table1[[#This Row],[Przecena (%)]]&gt;0,Table1[[#This Row],[Wykryto (szt.)]]-Table1[[#This Row],[Pozostało (szt.)]],Table1[[#This Row],[Wykryto (szt.)]]-Table1[[#This Row],[Przeterminowane (szt.)]])</f>
        <v>4</v>
      </c>
      <c r="O2">
        <f>IF(Table1[[#This Row],[Przecena (%)]]&gt;0,Table1[[#This Row],[Pozostało (szt.)]]-Table1[[#This Row],[Przeterminowane (szt.)]],0)</f>
        <v>12</v>
      </c>
      <c r="P2">
        <f>Table1[[#This Row],[Wykryto (szt.)]]-Table1[[#This Row],[Przeterminowane (szt.)]]</f>
        <v>16</v>
      </c>
      <c r="Q2" s="2">
        <f>Table1[[#This Row],[Uratowane bez Przeceny (szt.)]]*Table1[[#This Row],[Cena (zł)]]</f>
        <v>19.16</v>
      </c>
      <c r="R2" s="2">
        <f>Table1[[#This Row],[Uratowane z Przeceną (szt.)]]*Table1[[#This Row],[Cena (zł)]]*(1-Table1[[#This Row],[Przecena (%)]])</f>
        <v>45.984000000000009</v>
      </c>
      <c r="S2" s="2">
        <f>(Table1[[#This Row],[Cena (zł)]]*Table1[[#This Row],[Wykryto (szt.)]])-Table1[[#This Row],[Koszt Przecen (zł)]]-Table1[[#This Row],[Strata Rzeczywista (zł)]]</f>
        <v>65.144000000000005</v>
      </c>
      <c r="T2" s="2">
        <f>Table1[[#This Row],[Cena (zł)]]*Table1[[#This Row],[Uratowane z Przeceną (szt.)]]*Table1[[#This Row],[Przecena (%)]]</f>
        <v>11.496000000000002</v>
      </c>
      <c r="U2" s="2">
        <f>Table1[[#This Row],[Cena (zł)]]*Table1[[#This Row],[Przeterminowane (szt.)]]</f>
        <v>0</v>
      </c>
      <c r="V2" s="2">
        <f>Table1[[#This Row],[Koszt Przecen (zł)]]+Table1[[#This Row],[Strata Rzeczywista (zł)]]</f>
        <v>11.496000000000002</v>
      </c>
      <c r="W2" s="33" t="s">
        <v>19</v>
      </c>
    </row>
    <row r="3" spans="1:23" x14ac:dyDescent="0.25">
      <c r="A3" s="4" t="s">
        <v>64</v>
      </c>
      <c r="B3" s="4" t="s">
        <v>65</v>
      </c>
      <c r="C3" t="s">
        <v>111</v>
      </c>
      <c r="D3" t="s">
        <v>15</v>
      </c>
      <c r="E3" t="s">
        <v>59</v>
      </c>
      <c r="F3" t="s">
        <v>26</v>
      </c>
      <c r="G3" s="4">
        <v>46142</v>
      </c>
      <c r="H3" s="2">
        <v>3.59</v>
      </c>
      <c r="I3">
        <v>14</v>
      </c>
      <c r="J3" s="2">
        <f>Table1[[#This Row],[Cena (zł)]]*Table1[[#This Row],[Wykryto (szt.)]]</f>
        <v>50.26</v>
      </c>
      <c r="K3">
        <v>5</v>
      </c>
      <c r="L3" s="3">
        <v>0</v>
      </c>
      <c r="M3">
        <v>0</v>
      </c>
      <c r="N3">
        <f>IF(Table1[[#This Row],[Przecena (%)]]&gt;0,Table1[[#This Row],[Wykryto (szt.)]]-Table1[[#This Row],[Pozostało (szt.)]],Table1[[#This Row],[Wykryto (szt.)]]-Table1[[#This Row],[Przeterminowane (szt.)]])</f>
        <v>14</v>
      </c>
      <c r="O3">
        <f>IF(Table1[[#This Row],[Przecena (%)]]&gt;0,Table1[[#This Row],[Pozostało (szt.)]]-Table1[[#This Row],[Przeterminowane (szt.)]],0)</f>
        <v>0</v>
      </c>
      <c r="P3">
        <f>Table1[[#This Row],[Wykryto (szt.)]]-Table1[[#This Row],[Przeterminowane (szt.)]]</f>
        <v>14</v>
      </c>
      <c r="Q3" s="2">
        <f>Table1[[#This Row],[Uratowane bez Przeceny (szt.)]]*Table1[[#This Row],[Cena (zł)]]</f>
        <v>50.26</v>
      </c>
      <c r="R3" s="2">
        <f>Table1[[#This Row],[Uratowane z Przeceną (szt.)]]*Table1[[#This Row],[Cena (zł)]]*(1-Table1[[#This Row],[Przecena (%)]])</f>
        <v>0</v>
      </c>
      <c r="S3" s="2">
        <f>(Table1[[#This Row],[Cena (zł)]]*Table1[[#This Row],[Wykryto (szt.)]])-Table1[[#This Row],[Koszt Przecen (zł)]]-Table1[[#This Row],[Strata Rzeczywista (zł)]]</f>
        <v>50.26</v>
      </c>
      <c r="T3" s="2">
        <f>Table1[[#This Row],[Cena (zł)]]*Table1[[#This Row],[Uratowane z Przeceną (szt.)]]*Table1[[#This Row],[Przecena (%)]]</f>
        <v>0</v>
      </c>
      <c r="U3" s="2">
        <f>Table1[[#This Row],[Cena (zł)]]*Table1[[#This Row],[Przeterminowane (szt.)]]</f>
        <v>0</v>
      </c>
      <c r="V3" s="2">
        <f>Table1[[#This Row],[Koszt Przecen (zł)]]+Table1[[#This Row],[Strata Rzeczywista (zł)]]</f>
        <v>0</v>
      </c>
      <c r="W3" s="33" t="s">
        <v>52</v>
      </c>
    </row>
    <row r="4" spans="1:23" x14ac:dyDescent="0.25">
      <c r="A4" s="4" t="s">
        <v>64</v>
      </c>
      <c r="B4" s="4" t="s">
        <v>65</v>
      </c>
      <c r="C4" t="s">
        <v>111</v>
      </c>
      <c r="D4" t="s">
        <v>15</v>
      </c>
      <c r="E4" t="s">
        <v>60</v>
      </c>
      <c r="F4" t="s">
        <v>26</v>
      </c>
      <c r="G4" s="4">
        <v>46142</v>
      </c>
      <c r="H4" s="2">
        <v>3.59</v>
      </c>
      <c r="I4">
        <v>24</v>
      </c>
      <c r="J4" s="2">
        <f>Table1[[#This Row],[Cena (zł)]]*Table1[[#This Row],[Wykryto (szt.)]]</f>
        <v>86.16</v>
      </c>
      <c r="K4">
        <v>19</v>
      </c>
      <c r="L4" s="3">
        <v>0.2</v>
      </c>
      <c r="M4">
        <v>0</v>
      </c>
      <c r="N4">
        <f>IF(Table1[[#This Row],[Przecena (%)]]&gt;0,Table1[[#This Row],[Wykryto (szt.)]]-Table1[[#This Row],[Pozostało (szt.)]],Table1[[#This Row],[Wykryto (szt.)]]-Table1[[#This Row],[Przeterminowane (szt.)]])</f>
        <v>5</v>
      </c>
      <c r="O4">
        <f>IF(Table1[[#This Row],[Przecena (%)]]&gt;0,Table1[[#This Row],[Pozostało (szt.)]]-Table1[[#This Row],[Przeterminowane (szt.)]],0)</f>
        <v>19</v>
      </c>
      <c r="P4">
        <f>Table1[[#This Row],[Wykryto (szt.)]]-Table1[[#This Row],[Przeterminowane (szt.)]]</f>
        <v>24</v>
      </c>
      <c r="Q4" s="2">
        <f>Table1[[#This Row],[Uratowane bez Przeceny (szt.)]]*Table1[[#This Row],[Cena (zł)]]</f>
        <v>17.95</v>
      </c>
      <c r="R4" s="2">
        <f>Table1[[#This Row],[Uratowane z Przeceną (szt.)]]*Table1[[#This Row],[Cena (zł)]]*(1-Table1[[#This Row],[Przecena (%)]])</f>
        <v>54.567999999999998</v>
      </c>
      <c r="S4" s="2">
        <f>(Table1[[#This Row],[Cena (zł)]]*Table1[[#This Row],[Wykryto (szt.)]])-Table1[[#This Row],[Koszt Przecen (zł)]]-Table1[[#This Row],[Strata Rzeczywista (zł)]]</f>
        <v>72.518000000000001</v>
      </c>
      <c r="T4" s="2">
        <f>Table1[[#This Row],[Cena (zł)]]*Table1[[#This Row],[Uratowane z Przeceną (szt.)]]*Table1[[#This Row],[Przecena (%)]]</f>
        <v>13.641999999999999</v>
      </c>
      <c r="U4" s="2">
        <f>Table1[[#This Row],[Cena (zł)]]*Table1[[#This Row],[Przeterminowane (szt.)]]</f>
        <v>0</v>
      </c>
      <c r="V4" s="2">
        <f>Table1[[#This Row],[Koszt Przecen (zł)]]+Table1[[#This Row],[Strata Rzeczywista (zł)]]</f>
        <v>13.641999999999999</v>
      </c>
      <c r="W4" s="33" t="s">
        <v>19</v>
      </c>
    </row>
    <row r="5" spans="1:23" x14ac:dyDescent="0.25">
      <c r="A5" s="4" t="s">
        <v>64</v>
      </c>
      <c r="B5" s="4" t="s">
        <v>65</v>
      </c>
      <c r="C5" t="s">
        <v>112</v>
      </c>
      <c r="D5" t="s">
        <v>18</v>
      </c>
      <c r="E5" t="s">
        <v>61</v>
      </c>
      <c r="F5" t="s">
        <v>26</v>
      </c>
      <c r="G5" s="4">
        <v>46142</v>
      </c>
      <c r="H5" s="2">
        <v>4.79</v>
      </c>
      <c r="I5">
        <v>10</v>
      </c>
      <c r="J5" s="2">
        <f>Table1[[#This Row],[Cena (zł)]]*Table1[[#This Row],[Wykryto (szt.)]]</f>
        <v>47.9</v>
      </c>
      <c r="K5">
        <v>4</v>
      </c>
      <c r="L5" s="3">
        <v>0</v>
      </c>
      <c r="M5">
        <v>0</v>
      </c>
      <c r="N5">
        <f>IF(Table1[[#This Row],[Przecena (%)]]&gt;0,Table1[[#This Row],[Wykryto (szt.)]]-Table1[[#This Row],[Pozostało (szt.)]],Table1[[#This Row],[Wykryto (szt.)]]-Table1[[#This Row],[Przeterminowane (szt.)]])</f>
        <v>10</v>
      </c>
      <c r="O5">
        <f>IF(Table1[[#This Row],[Przecena (%)]]&gt;0,Table1[[#This Row],[Pozostało (szt.)]]-Table1[[#This Row],[Przeterminowane (szt.)]],0)</f>
        <v>0</v>
      </c>
      <c r="P5">
        <f>Table1[[#This Row],[Wykryto (szt.)]]-Table1[[#This Row],[Przeterminowane (szt.)]]</f>
        <v>10</v>
      </c>
      <c r="Q5" s="2">
        <f>Table1[[#This Row],[Uratowane bez Przeceny (szt.)]]*Table1[[#This Row],[Cena (zł)]]</f>
        <v>47.9</v>
      </c>
      <c r="R5" s="2">
        <f>Table1[[#This Row],[Uratowane z Przeceną (szt.)]]*Table1[[#This Row],[Cena (zł)]]*(1-Table1[[#This Row],[Przecena (%)]])</f>
        <v>0</v>
      </c>
      <c r="S5" s="2">
        <f>(Table1[[#This Row],[Cena (zł)]]*Table1[[#This Row],[Wykryto (szt.)]])-Table1[[#This Row],[Koszt Przecen (zł)]]-Table1[[#This Row],[Strata Rzeczywista (zł)]]</f>
        <v>47.9</v>
      </c>
      <c r="T5" s="2">
        <f>Table1[[#This Row],[Cena (zł)]]*Table1[[#This Row],[Uratowane z Przeceną (szt.)]]*Table1[[#This Row],[Przecena (%)]]</f>
        <v>0</v>
      </c>
      <c r="U5" s="2">
        <f>Table1[[#This Row],[Cena (zł)]]*Table1[[#This Row],[Przeterminowane (szt.)]]</f>
        <v>0</v>
      </c>
      <c r="V5" s="2">
        <f>Table1[[#This Row],[Koszt Przecen (zł)]]+Table1[[#This Row],[Strata Rzeczywista (zł)]]</f>
        <v>0</v>
      </c>
      <c r="W5" s="33" t="s">
        <v>52</v>
      </c>
    </row>
    <row r="6" spans="1:23" x14ac:dyDescent="0.25">
      <c r="A6" s="4" t="s">
        <v>64</v>
      </c>
      <c r="B6" s="4" t="s">
        <v>65</v>
      </c>
      <c r="C6" t="s">
        <v>112</v>
      </c>
      <c r="D6" t="s">
        <v>18</v>
      </c>
      <c r="E6" t="s">
        <v>62</v>
      </c>
      <c r="F6" t="s">
        <v>26</v>
      </c>
      <c r="G6" s="4">
        <v>46142</v>
      </c>
      <c r="H6" s="2">
        <v>4.79</v>
      </c>
      <c r="I6">
        <v>13</v>
      </c>
      <c r="J6" s="2">
        <f>Table1[[#This Row],[Cena (zł)]]*Table1[[#This Row],[Wykryto (szt.)]]</f>
        <v>62.27</v>
      </c>
      <c r="K6">
        <v>5</v>
      </c>
      <c r="L6" s="3">
        <v>0</v>
      </c>
      <c r="M6">
        <v>2</v>
      </c>
      <c r="N6">
        <f>IF(Table1[[#This Row],[Przecena (%)]]&gt;0,Table1[[#This Row],[Wykryto (szt.)]]-Table1[[#This Row],[Pozostało (szt.)]],Table1[[#This Row],[Wykryto (szt.)]]-Table1[[#This Row],[Przeterminowane (szt.)]])</f>
        <v>11</v>
      </c>
      <c r="O6">
        <f>IF(Table1[[#This Row],[Przecena (%)]]&gt;0,Table1[[#This Row],[Pozostało (szt.)]]-Table1[[#This Row],[Przeterminowane (szt.)]],0)</f>
        <v>0</v>
      </c>
      <c r="P6">
        <f>Table1[[#This Row],[Wykryto (szt.)]]-Table1[[#This Row],[Przeterminowane (szt.)]]</f>
        <v>11</v>
      </c>
      <c r="Q6" s="2">
        <f>Table1[[#This Row],[Uratowane bez Przeceny (szt.)]]*Table1[[#This Row],[Cena (zł)]]</f>
        <v>52.69</v>
      </c>
      <c r="R6" s="2">
        <f>Table1[[#This Row],[Uratowane z Przeceną (szt.)]]*Table1[[#This Row],[Cena (zł)]]*(1-Table1[[#This Row],[Przecena (%)]])</f>
        <v>0</v>
      </c>
      <c r="S6" s="2">
        <f>(Table1[[#This Row],[Cena (zł)]]*Table1[[#This Row],[Wykryto (szt.)]])-Table1[[#This Row],[Koszt Przecen (zł)]]-Table1[[#This Row],[Strata Rzeczywista (zł)]]</f>
        <v>52.690000000000005</v>
      </c>
      <c r="T6" s="2">
        <f>Table1[[#This Row],[Cena (zł)]]*Table1[[#This Row],[Uratowane z Przeceną (szt.)]]*Table1[[#This Row],[Przecena (%)]]</f>
        <v>0</v>
      </c>
      <c r="U6" s="2">
        <f>Table1[[#This Row],[Cena (zł)]]*Table1[[#This Row],[Przeterminowane (szt.)]]</f>
        <v>9.58</v>
      </c>
      <c r="V6" s="2">
        <f>Table1[[#This Row],[Koszt Przecen (zł)]]+Table1[[#This Row],[Strata Rzeczywista (zł)]]</f>
        <v>9.58</v>
      </c>
      <c r="W6" s="33" t="s">
        <v>109</v>
      </c>
    </row>
    <row r="7" spans="1:23" x14ac:dyDescent="0.25">
      <c r="A7" s="4" t="s">
        <v>64</v>
      </c>
      <c r="B7" s="4" t="s">
        <v>65</v>
      </c>
      <c r="C7" t="s">
        <v>112</v>
      </c>
      <c r="D7" t="s">
        <v>15</v>
      </c>
      <c r="E7" t="s">
        <v>63</v>
      </c>
      <c r="F7" t="s">
        <v>28</v>
      </c>
      <c r="G7" s="4">
        <v>46142</v>
      </c>
      <c r="H7" s="2">
        <v>2.59</v>
      </c>
      <c r="I7">
        <v>16</v>
      </c>
      <c r="J7" s="2">
        <f>Table1[[#This Row],[Cena (zł)]]*Table1[[#This Row],[Wykryto (szt.)]]</f>
        <v>41.44</v>
      </c>
      <c r="K7">
        <v>0</v>
      </c>
      <c r="L7" s="3">
        <v>0</v>
      </c>
      <c r="M7">
        <v>0</v>
      </c>
      <c r="N7">
        <f>IF(Table1[[#This Row],[Przecena (%)]]&gt;0,Table1[[#This Row],[Wykryto (szt.)]]-Table1[[#This Row],[Pozostało (szt.)]],Table1[[#This Row],[Wykryto (szt.)]]-Table1[[#This Row],[Przeterminowane (szt.)]])</f>
        <v>16</v>
      </c>
      <c r="O7">
        <f>IF(Table1[[#This Row],[Przecena (%)]]&gt;0,Table1[[#This Row],[Pozostało (szt.)]]-Table1[[#This Row],[Przeterminowane (szt.)]],0)</f>
        <v>0</v>
      </c>
      <c r="P7">
        <f>Table1[[#This Row],[Wykryto (szt.)]]-Table1[[#This Row],[Przeterminowane (szt.)]]</f>
        <v>16</v>
      </c>
      <c r="Q7" s="2">
        <f>Table1[[#This Row],[Uratowane bez Przeceny (szt.)]]*Table1[[#This Row],[Cena (zł)]]</f>
        <v>41.44</v>
      </c>
      <c r="R7" s="2">
        <f>Table1[[#This Row],[Uratowane z Przeceną (szt.)]]*Table1[[#This Row],[Cena (zł)]]*(1-Table1[[#This Row],[Przecena (%)]])</f>
        <v>0</v>
      </c>
      <c r="S7" s="2">
        <f>(Table1[[#This Row],[Cena (zł)]]*Table1[[#This Row],[Wykryto (szt.)]])-Table1[[#This Row],[Koszt Przecen (zł)]]-Table1[[#This Row],[Strata Rzeczywista (zł)]]</f>
        <v>41.44</v>
      </c>
      <c r="T7" s="2">
        <f>Table1[[#This Row],[Cena (zł)]]*Table1[[#This Row],[Uratowane z Przeceną (szt.)]]*Table1[[#This Row],[Przecena (%)]]</f>
        <v>0</v>
      </c>
      <c r="U7" s="2">
        <f>Table1[[#This Row],[Cena (zł)]]*Table1[[#This Row],[Przeterminowane (szt.)]]</f>
        <v>0</v>
      </c>
      <c r="V7" s="2">
        <f>Table1[[#This Row],[Koszt Przecen (zł)]]+Table1[[#This Row],[Strata Rzeczywista (zł)]]</f>
        <v>0</v>
      </c>
      <c r="W7" s="33" t="s">
        <v>52</v>
      </c>
    </row>
    <row r="8" spans="1:23" x14ac:dyDescent="0.25">
      <c r="A8" s="4" t="s">
        <v>68</v>
      </c>
      <c r="B8" s="4" t="s">
        <v>69</v>
      </c>
      <c r="C8" t="s">
        <v>111</v>
      </c>
      <c r="D8" t="s">
        <v>18</v>
      </c>
      <c r="E8" t="s">
        <v>56</v>
      </c>
      <c r="F8" t="s">
        <v>25</v>
      </c>
      <c r="G8" s="4">
        <v>46173</v>
      </c>
      <c r="H8" s="2">
        <v>6.49</v>
      </c>
      <c r="I8">
        <v>2</v>
      </c>
      <c r="J8" s="2">
        <f>Table1[[#This Row],[Cena (zł)]]*Table1[[#This Row],[Wykryto (szt.)]]</f>
        <v>12.98</v>
      </c>
      <c r="K8">
        <v>0</v>
      </c>
      <c r="L8" s="3">
        <v>0</v>
      </c>
      <c r="M8">
        <v>0</v>
      </c>
      <c r="N8">
        <f>IF(Table1[[#This Row],[Przecena (%)]]&gt;0,Table1[[#This Row],[Wykryto (szt.)]]-Table1[[#This Row],[Pozostało (szt.)]],Table1[[#This Row],[Wykryto (szt.)]]-Table1[[#This Row],[Przeterminowane (szt.)]])</f>
        <v>2</v>
      </c>
      <c r="O8">
        <f>IF(Table1[[#This Row],[Przecena (%)]]&gt;0,Table1[[#This Row],[Pozostało (szt.)]]-Table1[[#This Row],[Przeterminowane (szt.)]],0)</f>
        <v>0</v>
      </c>
      <c r="P8">
        <f>Table1[[#This Row],[Wykryto (szt.)]]-Table1[[#This Row],[Przeterminowane (szt.)]]</f>
        <v>2</v>
      </c>
      <c r="Q8" s="2">
        <f>Table1[[#This Row],[Uratowane bez Przeceny (szt.)]]*Table1[[#This Row],[Cena (zł)]]</f>
        <v>12.98</v>
      </c>
      <c r="R8" s="2">
        <f>Table1[[#This Row],[Uratowane z Przeceną (szt.)]]*Table1[[#This Row],[Cena (zł)]]*(1-Table1[[#This Row],[Przecena (%)]])</f>
        <v>0</v>
      </c>
      <c r="S8" s="2">
        <f>(Table1[[#This Row],[Cena (zł)]]*Table1[[#This Row],[Wykryto (szt.)]])-Table1[[#This Row],[Koszt Przecen (zł)]]-Table1[[#This Row],[Strata Rzeczywista (zł)]]</f>
        <v>12.98</v>
      </c>
      <c r="T8" s="2">
        <f>Table1[[#This Row],[Cena (zł)]]*Table1[[#This Row],[Uratowane z Przeceną (szt.)]]*Table1[[#This Row],[Przecena (%)]]</f>
        <v>0</v>
      </c>
      <c r="U8" s="2">
        <f>Table1[[#This Row],[Cena (zł)]]*Table1[[#This Row],[Przeterminowane (szt.)]]</f>
        <v>0</v>
      </c>
      <c r="V8" s="2">
        <f>Table1[[#This Row],[Koszt Przecen (zł)]]+Table1[[#This Row],[Strata Rzeczywista (zł)]]</f>
        <v>0</v>
      </c>
      <c r="W8" s="33" t="s">
        <v>52</v>
      </c>
    </row>
    <row r="9" spans="1:23" x14ac:dyDescent="0.25">
      <c r="A9" s="4" t="s">
        <v>68</v>
      </c>
      <c r="B9" s="4" t="s">
        <v>69</v>
      </c>
      <c r="C9" t="s">
        <v>111</v>
      </c>
      <c r="D9" t="s">
        <v>18</v>
      </c>
      <c r="E9" t="s">
        <v>57</v>
      </c>
      <c r="F9" t="s">
        <v>25</v>
      </c>
      <c r="G9" s="4">
        <v>46173</v>
      </c>
      <c r="H9" s="2">
        <v>6.49</v>
      </c>
      <c r="I9">
        <v>3</v>
      </c>
      <c r="J9" s="2">
        <f>Table1[[#This Row],[Cena (zł)]]*Table1[[#This Row],[Wykryto (szt.)]]</f>
        <v>19.47</v>
      </c>
      <c r="K9">
        <v>0</v>
      </c>
      <c r="L9" s="3">
        <v>0</v>
      </c>
      <c r="M9">
        <v>0</v>
      </c>
      <c r="N9">
        <f>IF(Table1[[#This Row],[Przecena (%)]]&gt;0,Table1[[#This Row],[Wykryto (szt.)]]-Table1[[#This Row],[Pozostało (szt.)]],Table1[[#This Row],[Wykryto (szt.)]]-Table1[[#This Row],[Przeterminowane (szt.)]])</f>
        <v>3</v>
      </c>
      <c r="O9">
        <f>IF(Table1[[#This Row],[Przecena (%)]]&gt;0,Table1[[#This Row],[Pozostało (szt.)]]-Table1[[#This Row],[Przeterminowane (szt.)]],0)</f>
        <v>0</v>
      </c>
      <c r="P9">
        <f>Table1[[#This Row],[Wykryto (szt.)]]-Table1[[#This Row],[Przeterminowane (szt.)]]</f>
        <v>3</v>
      </c>
      <c r="Q9" s="2">
        <f>Table1[[#This Row],[Uratowane bez Przeceny (szt.)]]*Table1[[#This Row],[Cena (zł)]]</f>
        <v>19.47</v>
      </c>
      <c r="R9" s="2">
        <f>Table1[[#This Row],[Uratowane z Przeceną (szt.)]]*Table1[[#This Row],[Cena (zł)]]*(1-Table1[[#This Row],[Przecena (%)]])</f>
        <v>0</v>
      </c>
      <c r="S9" s="2">
        <f>(Table1[[#This Row],[Cena (zł)]]*Table1[[#This Row],[Wykryto (szt.)]])-Table1[[#This Row],[Koszt Przecen (zł)]]-Table1[[#This Row],[Strata Rzeczywista (zł)]]</f>
        <v>19.47</v>
      </c>
      <c r="T9" s="2">
        <f>Table1[[#This Row],[Cena (zł)]]*Table1[[#This Row],[Uratowane z Przeceną (szt.)]]*Table1[[#This Row],[Przecena (%)]]</f>
        <v>0</v>
      </c>
      <c r="U9" s="2">
        <f>Table1[[#This Row],[Cena (zł)]]*Table1[[#This Row],[Przeterminowane (szt.)]]</f>
        <v>0</v>
      </c>
      <c r="V9" s="2">
        <f>Table1[[#This Row],[Koszt Przecen (zł)]]+Table1[[#This Row],[Strata Rzeczywista (zł)]]</f>
        <v>0</v>
      </c>
      <c r="W9" s="33" t="s">
        <v>52</v>
      </c>
    </row>
    <row r="10" spans="1:23" x14ac:dyDescent="0.25">
      <c r="A10" s="4" t="s">
        <v>68</v>
      </c>
      <c r="B10" s="4" t="s">
        <v>69</v>
      </c>
      <c r="C10" t="s">
        <v>111</v>
      </c>
      <c r="D10" t="s">
        <v>18</v>
      </c>
      <c r="E10" t="s">
        <v>55</v>
      </c>
      <c r="F10" t="s">
        <v>29</v>
      </c>
      <c r="G10" s="4">
        <v>46173</v>
      </c>
      <c r="H10" s="2">
        <v>6.49</v>
      </c>
      <c r="I10">
        <v>11</v>
      </c>
      <c r="J10" s="2">
        <f>Table1[[#This Row],[Cena (zł)]]*Table1[[#This Row],[Wykryto (szt.)]]</f>
        <v>71.39</v>
      </c>
      <c r="K10">
        <v>4</v>
      </c>
      <c r="L10" s="3">
        <v>0</v>
      </c>
      <c r="M10">
        <v>0</v>
      </c>
      <c r="N10">
        <f>IF(Table1[[#This Row],[Przecena (%)]]&gt;0,Table1[[#This Row],[Wykryto (szt.)]]-Table1[[#This Row],[Pozostało (szt.)]],Table1[[#This Row],[Wykryto (szt.)]]-Table1[[#This Row],[Przeterminowane (szt.)]])</f>
        <v>11</v>
      </c>
      <c r="O10">
        <f>IF(Table1[[#This Row],[Przecena (%)]]&gt;0,Table1[[#This Row],[Pozostało (szt.)]]-Table1[[#This Row],[Przeterminowane (szt.)]],0)</f>
        <v>0</v>
      </c>
      <c r="P10">
        <f>Table1[[#This Row],[Wykryto (szt.)]]-Table1[[#This Row],[Przeterminowane (szt.)]]</f>
        <v>11</v>
      </c>
      <c r="Q10" s="2">
        <f>Table1[[#This Row],[Uratowane bez Przeceny (szt.)]]*Table1[[#This Row],[Cena (zł)]]</f>
        <v>71.39</v>
      </c>
      <c r="R10" s="2">
        <f>Table1[[#This Row],[Uratowane z Przeceną (szt.)]]*Table1[[#This Row],[Cena (zł)]]*(1-Table1[[#This Row],[Przecena (%)]])</f>
        <v>0</v>
      </c>
      <c r="S10" s="2">
        <f>(Table1[[#This Row],[Cena (zł)]]*Table1[[#This Row],[Wykryto (szt.)]])-Table1[[#This Row],[Koszt Przecen (zł)]]-Table1[[#This Row],[Strata Rzeczywista (zł)]]</f>
        <v>71.39</v>
      </c>
      <c r="T10" s="2">
        <f>Table1[[#This Row],[Cena (zł)]]*Table1[[#This Row],[Uratowane z Przeceną (szt.)]]*Table1[[#This Row],[Przecena (%)]]</f>
        <v>0</v>
      </c>
      <c r="U10" s="2">
        <f>Table1[[#This Row],[Cena (zł)]]*Table1[[#This Row],[Przeterminowane (szt.)]]</f>
        <v>0</v>
      </c>
      <c r="V10" s="2">
        <f>Table1[[#This Row],[Koszt Przecen (zł)]]+Table1[[#This Row],[Strata Rzeczywista (zł)]]</f>
        <v>0</v>
      </c>
      <c r="W10" s="33" t="s">
        <v>52</v>
      </c>
    </row>
    <row r="11" spans="1:23" x14ac:dyDescent="0.25">
      <c r="A11" s="4" t="s">
        <v>68</v>
      </c>
      <c r="B11" s="4" t="s">
        <v>70</v>
      </c>
      <c r="C11" t="s">
        <v>111</v>
      </c>
      <c r="D11" t="s">
        <v>15</v>
      </c>
      <c r="E11" t="s">
        <v>58</v>
      </c>
      <c r="F11" t="s">
        <v>30</v>
      </c>
      <c r="G11" s="4">
        <v>46160</v>
      </c>
      <c r="H11" s="2">
        <v>12.99</v>
      </c>
      <c r="I11">
        <v>24</v>
      </c>
      <c r="J11" s="2">
        <f>Table1[[#This Row],[Cena (zł)]]*Table1[[#This Row],[Wykryto (szt.)]]</f>
        <v>311.76</v>
      </c>
      <c r="K11">
        <v>8</v>
      </c>
      <c r="L11" s="3">
        <v>0.4</v>
      </c>
      <c r="M11">
        <v>0</v>
      </c>
      <c r="N11">
        <f>IF(Table1[[#This Row],[Przecena (%)]]&gt;0,Table1[[#This Row],[Wykryto (szt.)]]-Table1[[#This Row],[Pozostało (szt.)]],Table1[[#This Row],[Wykryto (szt.)]]-Table1[[#This Row],[Przeterminowane (szt.)]])</f>
        <v>16</v>
      </c>
      <c r="O11">
        <f>IF(Table1[[#This Row],[Przecena (%)]]&gt;0,Table1[[#This Row],[Pozostało (szt.)]]-Table1[[#This Row],[Przeterminowane (szt.)]],0)</f>
        <v>8</v>
      </c>
      <c r="P11">
        <f>Table1[[#This Row],[Wykryto (szt.)]]-Table1[[#This Row],[Przeterminowane (szt.)]]</f>
        <v>24</v>
      </c>
      <c r="Q11" s="2">
        <f>Table1[[#This Row],[Uratowane bez Przeceny (szt.)]]*Table1[[#This Row],[Cena (zł)]]</f>
        <v>207.84</v>
      </c>
      <c r="R11" s="2">
        <f>Table1[[#This Row],[Uratowane z Przeceną (szt.)]]*Table1[[#This Row],[Cena (zł)]]*(1-Table1[[#This Row],[Przecena (%)]])</f>
        <v>62.351999999999997</v>
      </c>
      <c r="S11" s="2">
        <f>(Table1[[#This Row],[Cena (zł)]]*Table1[[#This Row],[Wykryto (szt.)]])-Table1[[#This Row],[Koszt Przecen (zł)]]-Table1[[#This Row],[Strata Rzeczywista (zł)]]</f>
        <v>270.19200000000001</v>
      </c>
      <c r="T11" s="2">
        <f>Table1[[#This Row],[Cena (zł)]]*Table1[[#This Row],[Uratowane z Przeceną (szt.)]]*Table1[[#This Row],[Przecena (%)]]</f>
        <v>41.568000000000005</v>
      </c>
      <c r="U11" s="2">
        <f>Table1[[#This Row],[Cena (zł)]]*Table1[[#This Row],[Przeterminowane (szt.)]]</f>
        <v>0</v>
      </c>
      <c r="V11" s="2">
        <f>Table1[[#This Row],[Koszt Przecen (zł)]]+Table1[[#This Row],[Strata Rzeczywista (zł)]]</f>
        <v>41.568000000000005</v>
      </c>
      <c r="W11" s="33" t="s">
        <v>71</v>
      </c>
    </row>
    <row r="12" spans="1:23" x14ac:dyDescent="0.25">
      <c r="A12" s="4" t="s">
        <v>68</v>
      </c>
      <c r="B12" s="4" t="s">
        <v>70</v>
      </c>
      <c r="C12" t="s">
        <v>112</v>
      </c>
      <c r="D12" t="s">
        <v>15</v>
      </c>
      <c r="E12" t="s">
        <v>53</v>
      </c>
      <c r="F12" t="s">
        <v>30</v>
      </c>
      <c r="G12" s="4">
        <v>46157</v>
      </c>
      <c r="H12" s="2">
        <v>8.99</v>
      </c>
      <c r="I12">
        <v>5</v>
      </c>
      <c r="J12" s="2">
        <f>Table1[[#This Row],[Cena (zł)]]*Table1[[#This Row],[Wykryto (szt.)]]</f>
        <v>44.95</v>
      </c>
      <c r="K12">
        <v>3</v>
      </c>
      <c r="L12" s="3">
        <v>0.4</v>
      </c>
      <c r="M12">
        <v>0</v>
      </c>
      <c r="N12">
        <f>IF(Table1[[#This Row],[Przecena (%)]]&gt;0,Table1[[#This Row],[Wykryto (szt.)]]-Table1[[#This Row],[Pozostało (szt.)]],Table1[[#This Row],[Wykryto (szt.)]]-Table1[[#This Row],[Przeterminowane (szt.)]])</f>
        <v>2</v>
      </c>
      <c r="O12">
        <f>IF(Table1[[#This Row],[Przecena (%)]]&gt;0,Table1[[#This Row],[Pozostało (szt.)]]-Table1[[#This Row],[Przeterminowane (szt.)]],0)</f>
        <v>3</v>
      </c>
      <c r="P12">
        <f>Table1[[#This Row],[Wykryto (szt.)]]-Table1[[#This Row],[Przeterminowane (szt.)]]</f>
        <v>5</v>
      </c>
      <c r="Q12" s="2">
        <f>Table1[[#This Row],[Uratowane bez Przeceny (szt.)]]*Table1[[#This Row],[Cena (zł)]]</f>
        <v>17.98</v>
      </c>
      <c r="R12" s="2">
        <f>Table1[[#This Row],[Uratowane z Przeceną (szt.)]]*Table1[[#This Row],[Cena (zł)]]*(1-Table1[[#This Row],[Przecena (%)]])</f>
        <v>16.181999999999999</v>
      </c>
      <c r="S12" s="2">
        <f>(Table1[[#This Row],[Cena (zł)]]*Table1[[#This Row],[Wykryto (szt.)]])-Table1[[#This Row],[Koszt Przecen (zł)]]-Table1[[#This Row],[Strata Rzeczywista (zł)]]</f>
        <v>34.162000000000006</v>
      </c>
      <c r="T12" s="2">
        <f>Table1[[#This Row],[Cena (zł)]]*Table1[[#This Row],[Uratowane z Przeceną (szt.)]]*Table1[[#This Row],[Przecena (%)]]</f>
        <v>10.788</v>
      </c>
      <c r="U12" s="2">
        <f>Table1[[#This Row],[Cena (zł)]]*Table1[[#This Row],[Przeterminowane (szt.)]]</f>
        <v>0</v>
      </c>
      <c r="V12" s="2">
        <f>Table1[[#This Row],[Koszt Przecen (zł)]]+Table1[[#This Row],[Strata Rzeczywista (zł)]]</f>
        <v>10.788</v>
      </c>
      <c r="W12" s="33" t="s">
        <v>19</v>
      </c>
    </row>
    <row r="13" spans="1:23" x14ac:dyDescent="0.25">
      <c r="A13" s="4" t="s">
        <v>68</v>
      </c>
      <c r="B13" s="4" t="s">
        <v>69</v>
      </c>
      <c r="C13" t="s">
        <v>112</v>
      </c>
      <c r="D13" t="s">
        <v>18</v>
      </c>
      <c r="E13" t="s">
        <v>54</v>
      </c>
      <c r="F13" t="s">
        <v>31</v>
      </c>
      <c r="G13" s="4">
        <v>46173</v>
      </c>
      <c r="H13" s="2">
        <v>7.49</v>
      </c>
      <c r="I13">
        <v>6</v>
      </c>
      <c r="J13" s="2">
        <f>Table1[[#This Row],[Cena (zł)]]*Table1[[#This Row],[Wykryto (szt.)]]</f>
        <v>44.94</v>
      </c>
      <c r="K13">
        <v>2</v>
      </c>
      <c r="L13" s="3">
        <v>0</v>
      </c>
      <c r="M13">
        <v>0</v>
      </c>
      <c r="N13">
        <f>IF(Table1[[#This Row],[Przecena (%)]]&gt;0,Table1[[#This Row],[Wykryto (szt.)]]-Table1[[#This Row],[Pozostało (szt.)]],Table1[[#This Row],[Wykryto (szt.)]]-Table1[[#This Row],[Przeterminowane (szt.)]])</f>
        <v>6</v>
      </c>
      <c r="O13">
        <f>IF(Table1[[#This Row],[Przecena (%)]]&gt;0,Table1[[#This Row],[Pozostało (szt.)]]-Table1[[#This Row],[Przeterminowane (szt.)]],0)</f>
        <v>0</v>
      </c>
      <c r="P13">
        <f>Table1[[#This Row],[Wykryto (szt.)]]-Table1[[#This Row],[Przeterminowane (szt.)]]</f>
        <v>6</v>
      </c>
      <c r="Q13" s="2">
        <f>Table1[[#This Row],[Uratowane bez Przeceny (szt.)]]*Table1[[#This Row],[Cena (zł)]]</f>
        <v>44.94</v>
      </c>
      <c r="R13" s="2">
        <f>Table1[[#This Row],[Uratowane z Przeceną (szt.)]]*Table1[[#This Row],[Cena (zł)]]*(1-Table1[[#This Row],[Przecena (%)]])</f>
        <v>0</v>
      </c>
      <c r="S13" s="2">
        <f>(Table1[[#This Row],[Cena (zł)]]*Table1[[#This Row],[Wykryto (szt.)]])-Table1[[#This Row],[Koszt Przecen (zł)]]-Table1[[#This Row],[Strata Rzeczywista (zł)]]</f>
        <v>44.94</v>
      </c>
      <c r="T13" s="2">
        <f>Table1[[#This Row],[Cena (zł)]]*Table1[[#This Row],[Uratowane z Przeceną (szt.)]]*Table1[[#This Row],[Przecena (%)]]</f>
        <v>0</v>
      </c>
      <c r="U13" s="2">
        <f>Table1[[#This Row],[Cena (zł)]]*Table1[[#This Row],[Przeterminowane (szt.)]]</f>
        <v>0</v>
      </c>
      <c r="V13" s="2">
        <f>Table1[[#This Row],[Koszt Przecen (zł)]]+Table1[[#This Row],[Strata Rzeczywista (zł)]]</f>
        <v>0</v>
      </c>
      <c r="W13" s="33" t="s">
        <v>52</v>
      </c>
    </row>
    <row r="14" spans="1:23" x14ac:dyDescent="0.25">
      <c r="A14" s="4" t="s">
        <v>14</v>
      </c>
      <c r="B14" s="4" t="s">
        <v>72</v>
      </c>
      <c r="C14" t="s">
        <v>111</v>
      </c>
      <c r="D14" t="s">
        <v>15</v>
      </c>
      <c r="E14" t="s">
        <v>16</v>
      </c>
      <c r="F14" t="s">
        <v>24</v>
      </c>
      <c r="G14" s="4">
        <v>46203</v>
      </c>
      <c r="H14" s="2">
        <v>2.99</v>
      </c>
      <c r="I14">
        <v>25</v>
      </c>
      <c r="J14" s="2">
        <f>Table1[[#This Row],[Cena (zł)]]*Table1[[#This Row],[Wykryto (szt.)]]</f>
        <v>74.75</v>
      </c>
      <c r="K14">
        <v>19</v>
      </c>
      <c r="L14" s="3">
        <v>0.2</v>
      </c>
      <c r="M14">
        <v>6</v>
      </c>
      <c r="N14">
        <f>IF(Table1[[#This Row],[Przecena (%)]]&gt;0,Table1[[#This Row],[Wykryto (szt.)]]-Table1[[#This Row],[Pozostało (szt.)]],Table1[[#This Row],[Wykryto (szt.)]]-Table1[[#This Row],[Przeterminowane (szt.)]])</f>
        <v>6</v>
      </c>
      <c r="O14">
        <f>IF(Table1[[#This Row],[Przecena (%)]]&gt;0,Table1[[#This Row],[Pozostało (szt.)]]-Table1[[#This Row],[Przeterminowane (szt.)]],0)</f>
        <v>13</v>
      </c>
      <c r="P14">
        <f>Table1[[#This Row],[Wykryto (szt.)]]-Table1[[#This Row],[Przeterminowane (szt.)]]</f>
        <v>19</v>
      </c>
      <c r="Q14" s="2">
        <f>Table1[[#This Row],[Uratowane bez Przeceny (szt.)]]*Table1[[#This Row],[Cena (zł)]]</f>
        <v>17.940000000000001</v>
      </c>
      <c r="R14" s="2">
        <f>Table1[[#This Row],[Uratowane z Przeceną (szt.)]]*Table1[[#This Row],[Cena (zł)]]*(1-Table1[[#This Row],[Przecena (%)]])</f>
        <v>31.096000000000004</v>
      </c>
      <c r="S14" s="2">
        <f>(Table1[[#This Row],[Cena (zł)]]*Table1[[#This Row],[Wykryto (szt.)]])-Table1[[#This Row],[Koszt Przecen (zł)]]-Table1[[#This Row],[Strata Rzeczywista (zł)]]</f>
        <v>49.036000000000001</v>
      </c>
      <c r="T14" s="2">
        <f>Table1[[#This Row],[Cena (zł)]]*Table1[[#This Row],[Uratowane z Przeceną (szt.)]]*Table1[[#This Row],[Przecena (%)]]</f>
        <v>7.7740000000000009</v>
      </c>
      <c r="U14" s="2">
        <f>Table1[[#This Row],[Cena (zł)]]*Table1[[#This Row],[Przeterminowane (szt.)]]</f>
        <v>17.940000000000001</v>
      </c>
      <c r="V14" s="2">
        <f>Table1[[#This Row],[Koszt Przecen (zł)]]+Table1[[#This Row],[Strata Rzeczywista (zł)]]</f>
        <v>25.714000000000002</v>
      </c>
      <c r="W14" s="33" t="s">
        <v>19</v>
      </c>
    </row>
    <row r="15" spans="1:23" x14ac:dyDescent="0.25">
      <c r="A15" s="4" t="s">
        <v>14</v>
      </c>
      <c r="B15" s="4" t="s">
        <v>72</v>
      </c>
      <c r="C15" t="s">
        <v>111</v>
      </c>
      <c r="D15" t="s">
        <v>15</v>
      </c>
      <c r="E15" t="s">
        <v>42</v>
      </c>
      <c r="F15" t="s">
        <v>26</v>
      </c>
      <c r="G15" s="4">
        <v>46203</v>
      </c>
      <c r="H15" s="2">
        <v>3.59</v>
      </c>
      <c r="I15">
        <v>15</v>
      </c>
      <c r="J15" s="2">
        <f>Table1[[#This Row],[Cena (zł)]]*Table1[[#This Row],[Wykryto (szt.)]]</f>
        <v>53.849999999999994</v>
      </c>
      <c r="K15">
        <v>15</v>
      </c>
      <c r="L15" s="3">
        <v>0.2</v>
      </c>
      <c r="M15">
        <v>3</v>
      </c>
      <c r="N15">
        <f>IF(Table1[[#This Row],[Przecena (%)]]&gt;0,Table1[[#This Row],[Wykryto (szt.)]]-Table1[[#This Row],[Pozostało (szt.)]],Table1[[#This Row],[Wykryto (szt.)]]-Table1[[#This Row],[Przeterminowane (szt.)]])</f>
        <v>0</v>
      </c>
      <c r="O15">
        <f>IF(Table1[[#This Row],[Przecena (%)]]&gt;0,Table1[[#This Row],[Pozostało (szt.)]]-Table1[[#This Row],[Przeterminowane (szt.)]],0)</f>
        <v>12</v>
      </c>
      <c r="P15">
        <f>Table1[[#This Row],[Wykryto (szt.)]]-Table1[[#This Row],[Przeterminowane (szt.)]]</f>
        <v>12</v>
      </c>
      <c r="Q15" s="2">
        <f>Table1[[#This Row],[Uratowane bez Przeceny (szt.)]]*Table1[[#This Row],[Cena (zł)]]</f>
        <v>0</v>
      </c>
      <c r="R15" s="2">
        <f>Table1[[#This Row],[Uratowane z Przeceną (szt.)]]*Table1[[#This Row],[Cena (zł)]]*(1-Table1[[#This Row],[Przecena (%)]])</f>
        <v>34.463999999999999</v>
      </c>
      <c r="S15" s="2">
        <f>(Table1[[#This Row],[Cena (zł)]]*Table1[[#This Row],[Wykryto (szt.)]])-Table1[[#This Row],[Koszt Przecen (zł)]]-Table1[[#This Row],[Strata Rzeczywista (zł)]]</f>
        <v>34.463999999999999</v>
      </c>
      <c r="T15" s="2">
        <f>Table1[[#This Row],[Cena (zł)]]*Table1[[#This Row],[Uratowane z Przeceną (szt.)]]*Table1[[#This Row],[Przecena (%)]]</f>
        <v>8.6159999999999997</v>
      </c>
      <c r="U15" s="2">
        <f>Table1[[#This Row],[Cena (zł)]]*Table1[[#This Row],[Przeterminowane (szt.)]]</f>
        <v>10.77</v>
      </c>
      <c r="V15" s="2">
        <f>Table1[[#This Row],[Koszt Przecen (zł)]]+Table1[[#This Row],[Strata Rzeczywista (zł)]]</f>
        <v>19.385999999999999</v>
      </c>
      <c r="W15" s="33" t="s">
        <v>19</v>
      </c>
    </row>
    <row r="16" spans="1:23" x14ac:dyDescent="0.25">
      <c r="A16" s="4" t="s">
        <v>14</v>
      </c>
      <c r="B16" s="4" t="s">
        <v>72</v>
      </c>
      <c r="C16" t="s">
        <v>111</v>
      </c>
      <c r="D16" t="s">
        <v>18</v>
      </c>
      <c r="E16" t="s">
        <v>17</v>
      </c>
      <c r="F16" t="s">
        <v>25</v>
      </c>
      <c r="G16" s="4">
        <v>46203</v>
      </c>
      <c r="H16" s="2">
        <v>6.49</v>
      </c>
      <c r="I16">
        <v>8</v>
      </c>
      <c r="J16" s="2">
        <f>Table1[[#This Row],[Cena (zł)]]*Table1[[#This Row],[Wykryto (szt.)]]</f>
        <v>51.92</v>
      </c>
      <c r="K16">
        <v>2</v>
      </c>
      <c r="L16" s="3">
        <v>0</v>
      </c>
      <c r="M16">
        <v>2</v>
      </c>
      <c r="N16">
        <f>IF(Table1[[#This Row],[Przecena (%)]]&gt;0,Table1[[#This Row],[Wykryto (szt.)]]-Table1[[#This Row],[Pozostało (szt.)]],Table1[[#This Row],[Wykryto (szt.)]]-Table1[[#This Row],[Przeterminowane (szt.)]])</f>
        <v>6</v>
      </c>
      <c r="O16">
        <f>IF(Table1[[#This Row],[Przecena (%)]]&gt;0,Table1[[#This Row],[Pozostało (szt.)]]-Table1[[#This Row],[Przeterminowane (szt.)]],0)</f>
        <v>0</v>
      </c>
      <c r="P16">
        <f>Table1[[#This Row],[Wykryto (szt.)]]-Table1[[#This Row],[Przeterminowane (szt.)]]</f>
        <v>6</v>
      </c>
      <c r="Q16" s="2">
        <f>Table1[[#This Row],[Uratowane bez Przeceny (szt.)]]*Table1[[#This Row],[Cena (zł)]]</f>
        <v>38.94</v>
      </c>
      <c r="R16" s="2">
        <f>Table1[[#This Row],[Uratowane z Przeceną (szt.)]]*Table1[[#This Row],[Cena (zł)]]*(1-Table1[[#This Row],[Przecena (%)]])</f>
        <v>0</v>
      </c>
      <c r="S16" s="2">
        <f>(Table1[[#This Row],[Cena (zł)]]*Table1[[#This Row],[Wykryto (szt.)]])-Table1[[#This Row],[Koszt Przecen (zł)]]-Table1[[#This Row],[Strata Rzeczywista (zł)]]</f>
        <v>38.94</v>
      </c>
      <c r="T16" s="2">
        <f>Table1[[#This Row],[Cena (zł)]]*Table1[[#This Row],[Uratowane z Przeceną (szt.)]]*Table1[[#This Row],[Przecena (%)]]</f>
        <v>0</v>
      </c>
      <c r="U16" s="2">
        <f>Table1[[#This Row],[Cena (zł)]]*Table1[[#This Row],[Przeterminowane (szt.)]]</f>
        <v>12.98</v>
      </c>
      <c r="V16" s="2">
        <f>Table1[[#This Row],[Koszt Przecen (zł)]]+Table1[[#This Row],[Strata Rzeczywista (zł)]]</f>
        <v>12.98</v>
      </c>
      <c r="W16" s="33" t="s">
        <v>109</v>
      </c>
    </row>
    <row r="17" spans="1:23" x14ac:dyDescent="0.25">
      <c r="A17" s="4" t="s">
        <v>14</v>
      </c>
      <c r="B17" s="4" t="s">
        <v>72</v>
      </c>
      <c r="C17" t="s">
        <v>112</v>
      </c>
      <c r="D17" t="s">
        <v>18</v>
      </c>
      <c r="E17" t="s">
        <v>61</v>
      </c>
      <c r="F17" t="s">
        <v>26</v>
      </c>
      <c r="G17" s="4">
        <v>46203</v>
      </c>
      <c r="H17" s="2">
        <v>4.99</v>
      </c>
      <c r="I17">
        <v>9</v>
      </c>
      <c r="J17" s="2">
        <f>Table1[[#This Row],[Cena (zł)]]*Table1[[#This Row],[Wykryto (szt.)]]</f>
        <v>44.910000000000004</v>
      </c>
      <c r="K17">
        <v>3</v>
      </c>
      <c r="L17" s="3">
        <v>0</v>
      </c>
      <c r="M17">
        <v>0</v>
      </c>
      <c r="N17">
        <f>IF(Table1[[#This Row],[Przecena (%)]]&gt;0,Table1[[#This Row],[Wykryto (szt.)]]-Table1[[#This Row],[Pozostało (szt.)]],Table1[[#This Row],[Wykryto (szt.)]]-Table1[[#This Row],[Przeterminowane (szt.)]])</f>
        <v>9</v>
      </c>
      <c r="O17">
        <f>IF(Table1[[#This Row],[Przecena (%)]]&gt;0,Table1[[#This Row],[Pozostało (szt.)]]-Table1[[#This Row],[Przeterminowane (szt.)]],0)</f>
        <v>0</v>
      </c>
      <c r="P17">
        <f>Table1[[#This Row],[Wykryto (szt.)]]-Table1[[#This Row],[Przeterminowane (szt.)]]</f>
        <v>9</v>
      </c>
      <c r="Q17" s="2">
        <f>Table1[[#This Row],[Uratowane bez Przeceny (szt.)]]*Table1[[#This Row],[Cena (zł)]]</f>
        <v>44.910000000000004</v>
      </c>
      <c r="R17" s="2">
        <f>Table1[[#This Row],[Uratowane z Przeceną (szt.)]]*Table1[[#This Row],[Cena (zł)]]*(1-Table1[[#This Row],[Przecena (%)]])</f>
        <v>0</v>
      </c>
      <c r="S17" s="2">
        <f>(Table1[[#This Row],[Cena (zł)]]*Table1[[#This Row],[Wykryto (szt.)]])-Table1[[#This Row],[Koszt Przecen (zł)]]-Table1[[#This Row],[Strata Rzeczywista (zł)]]</f>
        <v>44.910000000000004</v>
      </c>
      <c r="T17" s="2">
        <f>Table1[[#This Row],[Cena (zł)]]*Table1[[#This Row],[Uratowane z Przeceną (szt.)]]*Table1[[#This Row],[Przecena (%)]]</f>
        <v>0</v>
      </c>
      <c r="U17" s="2">
        <f>Table1[[#This Row],[Cena (zł)]]*Table1[[#This Row],[Przeterminowane (szt.)]]</f>
        <v>0</v>
      </c>
      <c r="V17" s="2">
        <f>Table1[[#This Row],[Koszt Przecen (zł)]]+Table1[[#This Row],[Strata Rzeczywista (zł)]]</f>
        <v>0</v>
      </c>
      <c r="W17" s="33" t="s">
        <v>52</v>
      </c>
    </row>
    <row r="18" spans="1:23" x14ac:dyDescent="0.25">
      <c r="A18" s="4" t="s">
        <v>14</v>
      </c>
      <c r="B18" s="4" t="s">
        <v>72</v>
      </c>
      <c r="C18" t="s">
        <v>112</v>
      </c>
      <c r="D18" t="s">
        <v>15</v>
      </c>
      <c r="E18" t="s">
        <v>43</v>
      </c>
      <c r="F18" t="s">
        <v>24</v>
      </c>
      <c r="G18" s="4">
        <v>46203</v>
      </c>
      <c r="H18" s="2">
        <v>2.99</v>
      </c>
      <c r="I18">
        <v>16</v>
      </c>
      <c r="J18" s="2">
        <f>Table1[[#This Row],[Cena (zł)]]*Table1[[#This Row],[Wykryto (szt.)]]</f>
        <v>47.84</v>
      </c>
      <c r="K18">
        <v>14</v>
      </c>
      <c r="L18" s="3">
        <v>0.2</v>
      </c>
      <c r="M18">
        <v>0</v>
      </c>
      <c r="N18">
        <f>IF(Table1[[#This Row],[Przecena (%)]]&gt;0,Table1[[#This Row],[Wykryto (szt.)]]-Table1[[#This Row],[Pozostało (szt.)]],Table1[[#This Row],[Wykryto (szt.)]]-Table1[[#This Row],[Przeterminowane (szt.)]])</f>
        <v>2</v>
      </c>
      <c r="O18">
        <f>IF(Table1[[#This Row],[Przecena (%)]]&gt;0,Table1[[#This Row],[Pozostało (szt.)]]-Table1[[#This Row],[Przeterminowane (szt.)]],0)</f>
        <v>14</v>
      </c>
      <c r="P18">
        <f>Table1[[#This Row],[Wykryto (szt.)]]-Table1[[#This Row],[Przeterminowane (szt.)]]</f>
        <v>16</v>
      </c>
      <c r="Q18" s="2">
        <f>Table1[[#This Row],[Uratowane bez Przeceny (szt.)]]*Table1[[#This Row],[Cena (zł)]]</f>
        <v>5.98</v>
      </c>
      <c r="R18" s="2">
        <f>Table1[[#This Row],[Uratowane z Przeceną (szt.)]]*Table1[[#This Row],[Cena (zł)]]*(1-Table1[[#This Row],[Przecena (%)]])</f>
        <v>33.488</v>
      </c>
      <c r="S18" s="2">
        <f>(Table1[[#This Row],[Cena (zł)]]*Table1[[#This Row],[Wykryto (szt.)]])-Table1[[#This Row],[Koszt Przecen (zł)]]-Table1[[#This Row],[Strata Rzeczywista (zł)]]</f>
        <v>39.468000000000004</v>
      </c>
      <c r="T18" s="2">
        <f>Table1[[#This Row],[Cena (zł)]]*Table1[[#This Row],[Uratowane z Przeceną (szt.)]]*Table1[[#This Row],[Przecena (%)]]</f>
        <v>8.3719999999999999</v>
      </c>
      <c r="U18" s="2">
        <f>Table1[[#This Row],[Cena (zł)]]*Table1[[#This Row],[Przeterminowane (szt.)]]</f>
        <v>0</v>
      </c>
      <c r="V18" s="2">
        <f>Table1[[#This Row],[Koszt Przecen (zł)]]+Table1[[#This Row],[Strata Rzeczywista (zł)]]</f>
        <v>8.3719999999999999</v>
      </c>
      <c r="W18" s="33" t="s">
        <v>19</v>
      </c>
    </row>
    <row r="19" spans="1:23" x14ac:dyDescent="0.25">
      <c r="A19" s="4" t="s">
        <v>39</v>
      </c>
      <c r="B19" s="4" t="s">
        <v>73</v>
      </c>
      <c r="C19" t="s">
        <v>111</v>
      </c>
      <c r="D19" t="s">
        <v>15</v>
      </c>
      <c r="E19" t="s">
        <v>44</v>
      </c>
      <c r="F19" t="s">
        <v>26</v>
      </c>
      <c r="G19" s="4">
        <v>46234</v>
      </c>
      <c r="H19" s="2">
        <v>3.59</v>
      </c>
      <c r="I19">
        <v>20</v>
      </c>
      <c r="J19" s="2">
        <f>Table1[[#This Row],[Cena (zł)]]*Table1[[#This Row],[Wykryto (szt.)]]</f>
        <v>71.8</v>
      </c>
      <c r="K19">
        <v>18</v>
      </c>
      <c r="L19" s="3">
        <v>0.2</v>
      </c>
      <c r="M19">
        <v>0</v>
      </c>
      <c r="N19">
        <f>IF(Table1[[#This Row],[Przecena (%)]]&gt;0,Table1[[#This Row],[Wykryto (szt.)]]-Table1[[#This Row],[Pozostało (szt.)]],Table1[[#This Row],[Wykryto (szt.)]]-Table1[[#This Row],[Przeterminowane (szt.)]])</f>
        <v>2</v>
      </c>
      <c r="O19">
        <f>IF(Table1[[#This Row],[Przecena (%)]]&gt;0,Table1[[#This Row],[Pozostało (szt.)]]-Table1[[#This Row],[Przeterminowane (szt.)]],0)</f>
        <v>18</v>
      </c>
      <c r="P19">
        <f>Table1[[#This Row],[Wykryto (szt.)]]-Table1[[#This Row],[Przeterminowane (szt.)]]</f>
        <v>20</v>
      </c>
      <c r="Q19" s="2">
        <f>Table1[[#This Row],[Uratowane bez Przeceny (szt.)]]*Table1[[#This Row],[Cena (zł)]]</f>
        <v>7.18</v>
      </c>
      <c r="R19" s="2">
        <f>Table1[[#This Row],[Uratowane z Przeceną (szt.)]]*Table1[[#This Row],[Cena (zł)]]*(1-Table1[[#This Row],[Przecena (%)]])</f>
        <v>51.696000000000005</v>
      </c>
      <c r="S19" s="2">
        <f>(Table1[[#This Row],[Cena (zł)]]*Table1[[#This Row],[Wykryto (szt.)]])-Table1[[#This Row],[Koszt Przecen (zł)]]-Table1[[#This Row],[Strata Rzeczywista (zł)]]</f>
        <v>58.875999999999998</v>
      </c>
      <c r="T19" s="2">
        <f>Table1[[#This Row],[Cena (zł)]]*Table1[[#This Row],[Uratowane z Przeceną (szt.)]]*Table1[[#This Row],[Przecena (%)]]</f>
        <v>12.924000000000001</v>
      </c>
      <c r="U19" s="2">
        <f>Table1[[#This Row],[Cena (zł)]]*Table1[[#This Row],[Przeterminowane (szt.)]]</f>
        <v>0</v>
      </c>
      <c r="V19" s="2">
        <f>Table1[[#This Row],[Koszt Przecen (zł)]]+Table1[[#This Row],[Strata Rzeczywista (zł)]]</f>
        <v>12.924000000000001</v>
      </c>
      <c r="W19" s="33" t="s">
        <v>19</v>
      </c>
    </row>
    <row r="20" spans="1:23" x14ac:dyDescent="0.25">
      <c r="A20" s="4" t="s">
        <v>39</v>
      </c>
      <c r="B20" s="4" t="s">
        <v>73</v>
      </c>
      <c r="C20" t="s">
        <v>111</v>
      </c>
      <c r="D20" t="s">
        <v>15</v>
      </c>
      <c r="E20" t="s">
        <v>45</v>
      </c>
      <c r="F20" t="s">
        <v>28</v>
      </c>
      <c r="G20" s="4">
        <v>46234</v>
      </c>
      <c r="H20" s="2">
        <v>3.59</v>
      </c>
      <c r="I20">
        <v>11</v>
      </c>
      <c r="J20" s="2">
        <f>Table1[[#This Row],[Cena (zł)]]*Table1[[#This Row],[Wykryto (szt.)]]</f>
        <v>39.489999999999995</v>
      </c>
      <c r="K20">
        <v>6</v>
      </c>
      <c r="L20" s="3">
        <v>0.2</v>
      </c>
      <c r="M20">
        <v>0</v>
      </c>
      <c r="N20">
        <f>IF(Table1[[#This Row],[Przecena (%)]]&gt;0,Table1[[#This Row],[Wykryto (szt.)]]-Table1[[#This Row],[Pozostało (szt.)]],Table1[[#This Row],[Wykryto (szt.)]]-Table1[[#This Row],[Przeterminowane (szt.)]])</f>
        <v>5</v>
      </c>
      <c r="O20">
        <f>IF(Table1[[#This Row],[Przecena (%)]]&gt;0,Table1[[#This Row],[Pozostało (szt.)]]-Table1[[#This Row],[Przeterminowane (szt.)]],0)</f>
        <v>6</v>
      </c>
      <c r="P20">
        <f>Table1[[#This Row],[Wykryto (szt.)]]-Table1[[#This Row],[Przeterminowane (szt.)]]</f>
        <v>11</v>
      </c>
      <c r="Q20" s="2">
        <f>Table1[[#This Row],[Uratowane bez Przeceny (szt.)]]*Table1[[#This Row],[Cena (zł)]]</f>
        <v>17.95</v>
      </c>
      <c r="R20" s="2">
        <f>Table1[[#This Row],[Uratowane z Przeceną (szt.)]]*Table1[[#This Row],[Cena (zł)]]*(1-Table1[[#This Row],[Przecena (%)]])</f>
        <v>17.231999999999999</v>
      </c>
      <c r="S20" s="2">
        <f>(Table1[[#This Row],[Cena (zł)]]*Table1[[#This Row],[Wykryto (szt.)]])-Table1[[#This Row],[Koszt Przecen (zł)]]-Table1[[#This Row],[Strata Rzeczywista (zł)]]</f>
        <v>35.181999999999995</v>
      </c>
      <c r="T20" s="2">
        <f>Table1[[#This Row],[Cena (zł)]]*Table1[[#This Row],[Uratowane z Przeceną (szt.)]]*Table1[[#This Row],[Przecena (%)]]</f>
        <v>4.3079999999999998</v>
      </c>
      <c r="U20" s="2">
        <f>Table1[[#This Row],[Cena (zł)]]*Table1[[#This Row],[Przeterminowane (szt.)]]</f>
        <v>0</v>
      </c>
      <c r="V20" s="2">
        <f>Table1[[#This Row],[Koszt Przecen (zł)]]+Table1[[#This Row],[Strata Rzeczywista (zł)]]</f>
        <v>4.3079999999999998</v>
      </c>
      <c r="W20" s="33" t="s">
        <v>52</v>
      </c>
    </row>
    <row r="21" spans="1:23" x14ac:dyDescent="0.25">
      <c r="A21" s="4" t="s">
        <v>39</v>
      </c>
      <c r="B21" s="4" t="s">
        <v>73</v>
      </c>
      <c r="C21" t="s">
        <v>112</v>
      </c>
      <c r="D21" t="s">
        <v>15</v>
      </c>
      <c r="E21" t="s">
        <v>45</v>
      </c>
      <c r="F21" t="s">
        <v>28</v>
      </c>
      <c r="G21" s="4">
        <v>46234</v>
      </c>
      <c r="H21" s="2">
        <v>3.59</v>
      </c>
      <c r="I21">
        <v>6</v>
      </c>
      <c r="J21" s="2">
        <f>Table1[[#This Row],[Cena (zł)]]*Table1[[#This Row],[Wykryto (szt.)]]</f>
        <v>21.54</v>
      </c>
      <c r="K21">
        <v>1</v>
      </c>
      <c r="L21" s="3">
        <v>0</v>
      </c>
      <c r="M21">
        <v>0</v>
      </c>
      <c r="N21">
        <f>IF(Table1[[#This Row],[Przecena (%)]]&gt;0,Table1[[#This Row],[Wykryto (szt.)]]-Table1[[#This Row],[Pozostało (szt.)]],Table1[[#This Row],[Wykryto (szt.)]]-Table1[[#This Row],[Przeterminowane (szt.)]])</f>
        <v>6</v>
      </c>
      <c r="O21">
        <f>IF(Table1[[#This Row],[Przecena (%)]]&gt;0,Table1[[#This Row],[Pozostało (szt.)]]-Table1[[#This Row],[Przeterminowane (szt.)]],0)</f>
        <v>0</v>
      </c>
      <c r="P21">
        <f>Table1[[#This Row],[Wykryto (szt.)]]-Table1[[#This Row],[Przeterminowane (szt.)]]</f>
        <v>6</v>
      </c>
      <c r="Q21" s="2">
        <f>Table1[[#This Row],[Uratowane bez Przeceny (szt.)]]*Table1[[#This Row],[Cena (zł)]]</f>
        <v>21.54</v>
      </c>
      <c r="R21" s="2">
        <f>Table1[[#This Row],[Uratowane z Przeceną (szt.)]]*Table1[[#This Row],[Cena (zł)]]*(1-Table1[[#This Row],[Przecena (%)]])</f>
        <v>0</v>
      </c>
      <c r="S21" s="2">
        <f>(Table1[[#This Row],[Cena (zł)]]*Table1[[#This Row],[Wykryto (szt.)]])-Table1[[#This Row],[Koszt Przecen (zł)]]-Table1[[#This Row],[Strata Rzeczywista (zł)]]</f>
        <v>21.54</v>
      </c>
      <c r="T21" s="2">
        <f>Table1[[#This Row],[Cena (zł)]]*Table1[[#This Row],[Uratowane z Przeceną (szt.)]]*Table1[[#This Row],[Przecena (%)]]</f>
        <v>0</v>
      </c>
      <c r="U21" s="2">
        <f>Table1[[#This Row],[Cena (zł)]]*Table1[[#This Row],[Przeterminowane (szt.)]]</f>
        <v>0</v>
      </c>
      <c r="V21" s="2">
        <f>Table1[[#This Row],[Koszt Przecen (zł)]]+Table1[[#This Row],[Strata Rzeczywista (zł)]]</f>
        <v>0</v>
      </c>
      <c r="W21" s="33" t="s">
        <v>52</v>
      </c>
    </row>
    <row r="22" spans="1:23" x14ac:dyDescent="0.25">
      <c r="A22" s="4" t="s">
        <v>39</v>
      </c>
      <c r="B22" s="4" t="s">
        <v>73</v>
      </c>
      <c r="C22" t="s">
        <v>112</v>
      </c>
      <c r="D22" t="s">
        <v>15</v>
      </c>
      <c r="E22" t="s">
        <v>41</v>
      </c>
      <c r="F22" t="s">
        <v>28</v>
      </c>
      <c r="G22" s="4">
        <v>46234</v>
      </c>
      <c r="H22" s="2">
        <v>3.59</v>
      </c>
      <c r="I22">
        <v>14</v>
      </c>
      <c r="J22" s="2">
        <f>Table1[[#This Row],[Cena (zł)]]*Table1[[#This Row],[Wykryto (szt.)]]</f>
        <v>50.26</v>
      </c>
      <c r="K22">
        <v>9</v>
      </c>
      <c r="L22" s="3">
        <v>0.2</v>
      </c>
      <c r="M22">
        <v>0</v>
      </c>
      <c r="N22">
        <f>IF(Table1[[#This Row],[Przecena (%)]]&gt;0,Table1[[#This Row],[Wykryto (szt.)]]-Table1[[#This Row],[Pozostało (szt.)]],Table1[[#This Row],[Wykryto (szt.)]]-Table1[[#This Row],[Przeterminowane (szt.)]])</f>
        <v>5</v>
      </c>
      <c r="O22">
        <f>IF(Table1[[#This Row],[Przecena (%)]]&gt;0,Table1[[#This Row],[Pozostało (szt.)]]-Table1[[#This Row],[Przeterminowane (szt.)]],0)</f>
        <v>9</v>
      </c>
      <c r="P22">
        <f>Table1[[#This Row],[Wykryto (szt.)]]-Table1[[#This Row],[Przeterminowane (szt.)]]</f>
        <v>14</v>
      </c>
      <c r="Q22" s="2">
        <f>Table1[[#This Row],[Uratowane bez Przeceny (szt.)]]*Table1[[#This Row],[Cena (zł)]]</f>
        <v>17.95</v>
      </c>
      <c r="R22" s="2">
        <f>Table1[[#This Row],[Uratowane z Przeceną (szt.)]]*Table1[[#This Row],[Cena (zł)]]*(1-Table1[[#This Row],[Przecena (%)]])</f>
        <v>25.848000000000003</v>
      </c>
      <c r="S22" s="2">
        <f>(Table1[[#This Row],[Cena (zł)]]*Table1[[#This Row],[Wykryto (szt.)]])-Table1[[#This Row],[Koszt Przecen (zł)]]-Table1[[#This Row],[Strata Rzeczywista (zł)]]</f>
        <v>43.797999999999995</v>
      </c>
      <c r="T22" s="2">
        <f>Table1[[#This Row],[Cena (zł)]]*Table1[[#This Row],[Uratowane z Przeceną (szt.)]]*Table1[[#This Row],[Przecena (%)]]</f>
        <v>6.4620000000000006</v>
      </c>
      <c r="U22" s="2">
        <f>Table1[[#This Row],[Cena (zł)]]*Table1[[#This Row],[Przeterminowane (szt.)]]</f>
        <v>0</v>
      </c>
      <c r="V22" s="2">
        <f>Table1[[#This Row],[Koszt Przecen (zł)]]+Table1[[#This Row],[Strata Rzeczywista (zł)]]</f>
        <v>6.4620000000000006</v>
      </c>
      <c r="W22" s="33" t="s">
        <v>71</v>
      </c>
    </row>
    <row r="23" spans="1:23" x14ac:dyDescent="0.25">
      <c r="A23" s="4" t="s">
        <v>39</v>
      </c>
      <c r="B23" s="4" t="s">
        <v>73</v>
      </c>
      <c r="C23" t="s">
        <v>112</v>
      </c>
      <c r="D23" t="s">
        <v>15</v>
      </c>
      <c r="E23" t="s">
        <v>40</v>
      </c>
      <c r="F23" t="s">
        <v>28</v>
      </c>
      <c r="G23" s="4">
        <v>46234</v>
      </c>
      <c r="H23" s="2">
        <v>3.59</v>
      </c>
      <c r="I23">
        <v>21</v>
      </c>
      <c r="J23" s="2">
        <f>Table1[[#This Row],[Cena (zł)]]*Table1[[#This Row],[Wykryto (szt.)]]</f>
        <v>75.39</v>
      </c>
      <c r="K23">
        <v>16</v>
      </c>
      <c r="L23" s="3">
        <v>0.2</v>
      </c>
      <c r="M23">
        <v>0</v>
      </c>
      <c r="N23">
        <f>IF(Table1[[#This Row],[Przecena (%)]]&gt;0,Table1[[#This Row],[Wykryto (szt.)]]-Table1[[#This Row],[Pozostało (szt.)]],Table1[[#This Row],[Wykryto (szt.)]]-Table1[[#This Row],[Przeterminowane (szt.)]])</f>
        <v>5</v>
      </c>
      <c r="O23">
        <f>IF(Table1[[#This Row],[Przecena (%)]]&gt;0,Table1[[#This Row],[Pozostało (szt.)]]-Table1[[#This Row],[Przeterminowane (szt.)]],0)</f>
        <v>16</v>
      </c>
      <c r="P23">
        <f>Table1[[#This Row],[Wykryto (szt.)]]-Table1[[#This Row],[Przeterminowane (szt.)]]</f>
        <v>21</v>
      </c>
      <c r="Q23" s="2">
        <f>Table1[[#This Row],[Uratowane bez Przeceny (szt.)]]*Table1[[#This Row],[Cena (zł)]]</f>
        <v>17.95</v>
      </c>
      <c r="R23" s="2">
        <f>Table1[[#This Row],[Uratowane z Przeceną (szt.)]]*Table1[[#This Row],[Cena (zł)]]*(1-Table1[[#This Row],[Przecena (%)]])</f>
        <v>45.951999999999998</v>
      </c>
      <c r="S23" s="2">
        <f>(Table1[[#This Row],[Cena (zł)]]*Table1[[#This Row],[Wykryto (szt.)]])-Table1[[#This Row],[Koszt Przecen (zł)]]-Table1[[#This Row],[Strata Rzeczywista (zł)]]</f>
        <v>63.902000000000001</v>
      </c>
      <c r="T23" s="2">
        <f>Table1[[#This Row],[Cena (zł)]]*Table1[[#This Row],[Uratowane z Przeceną (szt.)]]*Table1[[#This Row],[Przecena (%)]]</f>
        <v>11.488</v>
      </c>
      <c r="U23" s="2">
        <f>Table1[[#This Row],[Cena (zł)]]*Table1[[#This Row],[Przeterminowane (szt.)]]</f>
        <v>0</v>
      </c>
      <c r="V23" s="2">
        <f>Table1[[#This Row],[Koszt Przecen (zł)]]+Table1[[#This Row],[Strata Rzeczywista (zł)]]</f>
        <v>11.488</v>
      </c>
      <c r="W23" s="33" t="s">
        <v>19</v>
      </c>
    </row>
    <row r="24" spans="1:23" x14ac:dyDescent="0.25">
      <c r="A24" s="4" t="s">
        <v>39</v>
      </c>
      <c r="B24" s="4" t="s">
        <v>73</v>
      </c>
      <c r="C24" t="s">
        <v>112</v>
      </c>
      <c r="D24" t="s">
        <v>15</v>
      </c>
      <c r="E24" t="s">
        <v>46</v>
      </c>
      <c r="F24" t="s">
        <v>25</v>
      </c>
      <c r="G24" s="4">
        <v>46234</v>
      </c>
      <c r="H24" s="2">
        <v>5.99</v>
      </c>
      <c r="I24">
        <v>6</v>
      </c>
      <c r="J24" s="2">
        <f>Table1[[#This Row],[Cena (zł)]]*Table1[[#This Row],[Wykryto (szt.)]]</f>
        <v>35.94</v>
      </c>
      <c r="K24">
        <v>5</v>
      </c>
      <c r="L24" s="3">
        <v>0.2</v>
      </c>
      <c r="M24">
        <v>0</v>
      </c>
      <c r="N24">
        <f>IF(Table1[[#This Row],[Przecena (%)]]&gt;0,Table1[[#This Row],[Wykryto (szt.)]]-Table1[[#This Row],[Pozostało (szt.)]],Table1[[#This Row],[Wykryto (szt.)]]-Table1[[#This Row],[Przeterminowane (szt.)]])</f>
        <v>1</v>
      </c>
      <c r="O24">
        <f>IF(Table1[[#This Row],[Przecena (%)]]&gt;0,Table1[[#This Row],[Pozostało (szt.)]]-Table1[[#This Row],[Przeterminowane (szt.)]],0)</f>
        <v>5</v>
      </c>
      <c r="P24">
        <f>Table1[[#This Row],[Wykryto (szt.)]]-Table1[[#This Row],[Przeterminowane (szt.)]]</f>
        <v>6</v>
      </c>
      <c r="Q24" s="2">
        <f>Table1[[#This Row],[Uratowane bez Przeceny (szt.)]]*Table1[[#This Row],[Cena (zł)]]</f>
        <v>5.99</v>
      </c>
      <c r="R24" s="2">
        <f>Table1[[#This Row],[Uratowane z Przeceną (szt.)]]*Table1[[#This Row],[Cena (zł)]]*(1-Table1[[#This Row],[Przecena (%)]])</f>
        <v>23.960000000000004</v>
      </c>
      <c r="S24" s="2">
        <f>(Table1[[#This Row],[Cena (zł)]]*Table1[[#This Row],[Wykryto (szt.)]])-Table1[[#This Row],[Koszt Przecen (zł)]]-Table1[[#This Row],[Strata Rzeczywista (zł)]]</f>
        <v>29.949999999999996</v>
      </c>
      <c r="T24" s="2">
        <f>Table1[[#This Row],[Cena (zł)]]*Table1[[#This Row],[Uratowane z Przeceną (szt.)]]*Table1[[#This Row],[Przecena (%)]]</f>
        <v>5.9900000000000011</v>
      </c>
      <c r="U24" s="2">
        <f>Table1[[#This Row],[Cena (zł)]]*Table1[[#This Row],[Przeterminowane (szt.)]]</f>
        <v>0</v>
      </c>
      <c r="V24" s="2">
        <f>Table1[[#This Row],[Koszt Przecen (zł)]]+Table1[[#This Row],[Strata Rzeczywista (zł)]]</f>
        <v>5.9900000000000011</v>
      </c>
      <c r="W24" s="33" t="s">
        <v>19</v>
      </c>
    </row>
    <row r="25" spans="1:23" x14ac:dyDescent="0.25">
      <c r="A25" s="4" t="s">
        <v>39</v>
      </c>
      <c r="B25" s="4" t="s">
        <v>73</v>
      </c>
      <c r="C25" t="s">
        <v>112</v>
      </c>
      <c r="D25" t="s">
        <v>15</v>
      </c>
      <c r="E25" t="s">
        <v>74</v>
      </c>
      <c r="F25" t="s">
        <v>25</v>
      </c>
      <c r="G25" s="4">
        <v>46234</v>
      </c>
      <c r="H25" s="2">
        <v>2.99</v>
      </c>
      <c r="I25">
        <v>4</v>
      </c>
      <c r="J25" s="2">
        <f>Table1[[#This Row],[Cena (zł)]]*Table1[[#This Row],[Wykryto (szt.)]]</f>
        <v>11.96</v>
      </c>
      <c r="K25">
        <v>3</v>
      </c>
      <c r="L25" s="3">
        <v>0.2</v>
      </c>
      <c r="M25">
        <v>0</v>
      </c>
      <c r="N25">
        <f>IF(Table1[[#This Row],[Przecena (%)]]&gt;0,Table1[[#This Row],[Wykryto (szt.)]]-Table1[[#This Row],[Pozostało (szt.)]],Table1[[#This Row],[Wykryto (szt.)]]-Table1[[#This Row],[Przeterminowane (szt.)]])</f>
        <v>1</v>
      </c>
      <c r="O25">
        <f>IF(Table1[[#This Row],[Przecena (%)]]&gt;0,Table1[[#This Row],[Pozostało (szt.)]]-Table1[[#This Row],[Przeterminowane (szt.)]],0)</f>
        <v>3</v>
      </c>
      <c r="P25">
        <f>Table1[[#This Row],[Wykryto (szt.)]]-Table1[[#This Row],[Przeterminowane (szt.)]]</f>
        <v>4</v>
      </c>
      <c r="Q25" s="2">
        <f>Table1[[#This Row],[Uratowane bez Przeceny (szt.)]]*Table1[[#This Row],[Cena (zł)]]</f>
        <v>2.99</v>
      </c>
      <c r="R25" s="2">
        <f>Table1[[#This Row],[Uratowane z Przeceną (szt.)]]*Table1[[#This Row],[Cena (zł)]]*(1-Table1[[#This Row],[Przecena (%)]])</f>
        <v>7.176000000000001</v>
      </c>
      <c r="S25" s="2">
        <f>(Table1[[#This Row],[Cena (zł)]]*Table1[[#This Row],[Wykryto (szt.)]])-Table1[[#This Row],[Koszt Przecen (zł)]]-Table1[[#This Row],[Strata Rzeczywista (zł)]]</f>
        <v>10.166</v>
      </c>
      <c r="T25" s="2">
        <f>Table1[[#This Row],[Cena (zł)]]*Table1[[#This Row],[Uratowane z Przeceną (szt.)]]*Table1[[#This Row],[Przecena (%)]]</f>
        <v>1.7940000000000003</v>
      </c>
      <c r="U25" s="2">
        <f>Table1[[#This Row],[Cena (zł)]]*Table1[[#This Row],[Przeterminowane (szt.)]]</f>
        <v>0</v>
      </c>
      <c r="V25" s="2">
        <f>Table1[[#This Row],[Koszt Przecen (zł)]]+Table1[[#This Row],[Strata Rzeczywista (zł)]]</f>
        <v>1.7940000000000003</v>
      </c>
      <c r="W25" s="33" t="s">
        <v>19</v>
      </c>
    </row>
    <row r="26" spans="1:23" x14ac:dyDescent="0.25">
      <c r="A26" s="4" t="s">
        <v>39</v>
      </c>
      <c r="B26" s="4" t="s">
        <v>73</v>
      </c>
      <c r="C26" t="s">
        <v>112</v>
      </c>
      <c r="D26" t="s">
        <v>15</v>
      </c>
      <c r="E26" t="s">
        <v>47</v>
      </c>
      <c r="F26" t="s">
        <v>48</v>
      </c>
      <c r="G26" s="4">
        <v>46234</v>
      </c>
      <c r="H26" s="2">
        <v>4.79</v>
      </c>
      <c r="I26">
        <v>20</v>
      </c>
      <c r="J26" s="2">
        <f>Table1[[#This Row],[Cena (zł)]]*Table1[[#This Row],[Wykryto (szt.)]]</f>
        <v>95.8</v>
      </c>
      <c r="K26">
        <v>20</v>
      </c>
      <c r="L26" s="3">
        <v>0.4</v>
      </c>
      <c r="M26">
        <v>6</v>
      </c>
      <c r="N26">
        <f>IF(Table1[[#This Row],[Przecena (%)]]&gt;0,Table1[[#This Row],[Wykryto (szt.)]]-Table1[[#This Row],[Pozostało (szt.)]],Table1[[#This Row],[Wykryto (szt.)]]-Table1[[#This Row],[Przeterminowane (szt.)]])</f>
        <v>0</v>
      </c>
      <c r="O26">
        <f>IF(Table1[[#This Row],[Przecena (%)]]&gt;0,Table1[[#This Row],[Pozostało (szt.)]]-Table1[[#This Row],[Przeterminowane (szt.)]],0)</f>
        <v>14</v>
      </c>
      <c r="P26">
        <f>Table1[[#This Row],[Wykryto (szt.)]]-Table1[[#This Row],[Przeterminowane (szt.)]]</f>
        <v>14</v>
      </c>
      <c r="Q26" s="2">
        <f>Table1[[#This Row],[Uratowane bez Przeceny (szt.)]]*Table1[[#This Row],[Cena (zł)]]</f>
        <v>0</v>
      </c>
      <c r="R26" s="2">
        <f>Table1[[#This Row],[Uratowane z Przeceną (szt.)]]*Table1[[#This Row],[Cena (zł)]]*(1-Table1[[#This Row],[Przecena (%)]])</f>
        <v>40.235999999999997</v>
      </c>
      <c r="S26" s="2">
        <f>(Table1[[#This Row],[Cena (zł)]]*Table1[[#This Row],[Wykryto (szt.)]])-Table1[[#This Row],[Koszt Przecen (zł)]]-Table1[[#This Row],[Strata Rzeczywista (zł)]]</f>
        <v>40.235999999999997</v>
      </c>
      <c r="T26" s="2">
        <f>Table1[[#This Row],[Cena (zł)]]*Table1[[#This Row],[Uratowane z Przeceną (szt.)]]*Table1[[#This Row],[Przecena (%)]]</f>
        <v>26.824000000000002</v>
      </c>
      <c r="U26" s="2">
        <f>Table1[[#This Row],[Cena (zł)]]*Table1[[#This Row],[Przeterminowane (szt.)]]</f>
        <v>28.740000000000002</v>
      </c>
      <c r="V26" s="2">
        <f>Table1[[#This Row],[Koszt Przecen (zł)]]+Table1[[#This Row],[Strata Rzeczywista (zł)]]</f>
        <v>55.564000000000007</v>
      </c>
      <c r="W26" s="33" t="s">
        <v>19</v>
      </c>
    </row>
    <row r="27" spans="1:23" x14ac:dyDescent="0.25">
      <c r="D27" t="s">
        <v>0</v>
      </c>
      <c r="F27" t="s">
        <v>0</v>
      </c>
    </row>
    <row r="28" spans="1:23" x14ac:dyDescent="0.25">
      <c r="D28" t="s">
        <v>0</v>
      </c>
      <c r="H28" t="s">
        <v>0</v>
      </c>
    </row>
    <row r="29" spans="1:23" x14ac:dyDescent="0.25">
      <c r="J29" s="1"/>
      <c r="K29" s="1"/>
    </row>
    <row r="30" spans="1:23" x14ac:dyDescent="0.25">
      <c r="I30" t="s">
        <v>0</v>
      </c>
    </row>
    <row r="31" spans="1:23" x14ac:dyDescent="0.25">
      <c r="K31" t="s">
        <v>0</v>
      </c>
    </row>
    <row r="32" spans="1:23" x14ac:dyDescent="0.25">
      <c r="C32" t="s">
        <v>0</v>
      </c>
    </row>
    <row r="33" spans="3:12" x14ac:dyDescent="0.25">
      <c r="E33" t="s">
        <v>0</v>
      </c>
    </row>
    <row r="37" spans="3:12" x14ac:dyDescent="0.25">
      <c r="L37" t="s">
        <v>0</v>
      </c>
    </row>
    <row r="38" spans="3:12" x14ac:dyDescent="0.25">
      <c r="C38" t="s">
        <v>0</v>
      </c>
    </row>
    <row r="40" spans="3:12" x14ac:dyDescent="0.25">
      <c r="L40" t="s">
        <v>0</v>
      </c>
    </row>
  </sheetData>
  <phoneticPr fontId="4"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51F00AA7-A20E-4246-9662-5F0D13492DFA}">
          <x14:formula1>
            <xm:f>Słowniki!$A$3:$A$4</xm:f>
          </x14:formula1>
          <xm:sqref>C2:C26</xm:sqref>
        </x14:dataValidation>
        <x14:dataValidation type="list" allowBlank="1" showInputMessage="1" showErrorMessage="1" xr:uid="{CD2DD77B-2D7E-4AF3-95B1-67A1259F0ACA}">
          <x14:formula1>
            <xm:f>Słowniki!$B$3:$B$4</xm:f>
          </x14:formula1>
          <xm:sqref>D2:D26</xm:sqref>
        </x14:dataValidation>
        <x14:dataValidation type="list" allowBlank="1" showInputMessage="1" showErrorMessage="1" xr:uid="{C300976E-F3D0-4B3D-A74A-70BDE70009CE}">
          <x14:formula1>
            <xm:f>Słowniki!$C$3:$C$19</xm:f>
          </x14:formula1>
          <xm:sqref>F2:F26</xm:sqref>
        </x14:dataValidation>
        <x14:dataValidation type="list" allowBlank="1" showInputMessage="1" showErrorMessage="1" xr:uid="{E0D5639C-9151-4703-8CFD-22C5E07B1E14}">
          <x14:formula1>
            <xm:f>Słowniki!$D$3:$D$9</xm:f>
          </x14:formula1>
          <xm:sqref>W2:W26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4AC82-4326-43D6-A31F-982B049E23A0}">
  <dimension ref="A1:Z40"/>
  <sheetViews>
    <sheetView topLeftCell="I1" zoomScale="60" zoomScaleNormal="60" workbookViewId="0">
      <selection activeCell="W6" sqref="W6"/>
    </sheetView>
  </sheetViews>
  <sheetFormatPr defaultRowHeight="15" x14ac:dyDescent="0.25"/>
  <cols>
    <col min="1" max="1" width="14" customWidth="1"/>
    <col min="2" max="2" width="22" bestFit="1" customWidth="1"/>
    <col min="3" max="3" width="25.140625" bestFit="1" customWidth="1"/>
    <col min="4" max="4" width="15.85546875" bestFit="1" customWidth="1"/>
    <col min="5" max="5" width="17.85546875" customWidth="1"/>
    <col min="6" max="6" width="14.28515625" bestFit="1" customWidth="1"/>
    <col min="7" max="9" width="16.42578125" customWidth="1"/>
    <col min="10" max="10" width="13.5703125" bestFit="1" customWidth="1"/>
    <col min="11" max="11" width="23" bestFit="1" customWidth="1"/>
    <col min="12" max="12" width="24.85546875" customWidth="1"/>
    <col min="13" max="13" width="22.140625" bestFit="1" customWidth="1"/>
    <col min="14" max="14" width="19.7109375" bestFit="1" customWidth="1"/>
    <col min="15" max="15" width="23.85546875" bestFit="1" customWidth="1"/>
    <col min="16" max="16" width="42.5703125" bestFit="1" customWidth="1"/>
    <col min="17" max="17" width="39.42578125" bestFit="1" customWidth="1"/>
    <col min="18" max="18" width="35.140625" bestFit="1" customWidth="1"/>
    <col min="19" max="19" width="25.42578125" customWidth="1"/>
    <col min="20" max="22" width="19.42578125" customWidth="1"/>
    <col min="23" max="23" width="26.140625" bestFit="1" customWidth="1"/>
    <col min="24" max="24" width="26.140625" customWidth="1"/>
    <col min="25" max="25" width="31.85546875" bestFit="1" customWidth="1"/>
  </cols>
  <sheetData>
    <row r="1" spans="1:25" x14ac:dyDescent="0.25">
      <c r="A1" s="10" t="s">
        <v>1</v>
      </c>
      <c r="B1" s="10" t="s">
        <v>66</v>
      </c>
      <c r="C1" s="8" t="s">
        <v>2</v>
      </c>
      <c r="D1" s="8" t="s">
        <v>11</v>
      </c>
      <c r="E1" s="8" t="s">
        <v>12</v>
      </c>
      <c r="F1" s="8" t="s">
        <v>23</v>
      </c>
      <c r="G1" s="10" t="s">
        <v>3</v>
      </c>
      <c r="H1" s="10" t="s">
        <v>77</v>
      </c>
      <c r="I1" s="8" t="s">
        <v>78</v>
      </c>
      <c r="J1" s="11" t="s">
        <v>13</v>
      </c>
      <c r="K1" s="8" t="s">
        <v>6</v>
      </c>
      <c r="L1" s="11" t="s">
        <v>4</v>
      </c>
      <c r="M1" s="8" t="s">
        <v>67</v>
      </c>
      <c r="N1" s="12" t="s">
        <v>90</v>
      </c>
      <c r="O1" s="8" t="s">
        <v>7</v>
      </c>
      <c r="P1" s="8" t="s">
        <v>88</v>
      </c>
      <c r="Q1" s="8" t="s">
        <v>89</v>
      </c>
      <c r="R1" s="8" t="s">
        <v>87</v>
      </c>
      <c r="S1" s="11" t="s">
        <v>8</v>
      </c>
      <c r="T1" s="11" t="s">
        <v>80</v>
      </c>
      <c r="U1" s="11" t="s">
        <v>79</v>
      </c>
      <c r="V1" s="11" t="s">
        <v>98</v>
      </c>
      <c r="W1" s="11" t="s">
        <v>9</v>
      </c>
      <c r="X1" s="11" t="s">
        <v>76</v>
      </c>
      <c r="Y1" s="9" t="s">
        <v>10</v>
      </c>
    </row>
    <row r="2" spans="1:25" x14ac:dyDescent="0.25">
      <c r="A2" s="29" t="s">
        <v>64</v>
      </c>
      <c r="B2" s="29" t="s">
        <v>65</v>
      </c>
      <c r="C2" t="s">
        <v>111</v>
      </c>
      <c r="D2" s="30" t="s">
        <v>18</v>
      </c>
      <c r="E2" s="30" t="s">
        <v>61</v>
      </c>
      <c r="F2" s="30" t="s">
        <v>26</v>
      </c>
      <c r="G2" s="29">
        <v>46142</v>
      </c>
      <c r="H2" s="29" t="str">
        <f>TEXT(G2, "[$-pl-PL]mmmm")</f>
        <v>kwiecień</v>
      </c>
      <c r="I2" s="30" t="str">
        <f>ROMAN(MONTH(G2))</f>
        <v>IV</v>
      </c>
      <c r="J2" s="31">
        <v>4.79</v>
      </c>
      <c r="K2" s="30">
        <v>16</v>
      </c>
      <c r="L2" s="31">
        <f>Table1[[#This Row],[Cena (zł)]]*Table1[[#This Row],[Wykryto (szt.)]]</f>
        <v>76.64</v>
      </c>
      <c r="M2" s="30">
        <v>12</v>
      </c>
      <c r="N2" s="32">
        <v>0.2</v>
      </c>
      <c r="O2" s="30">
        <v>0</v>
      </c>
      <c r="P2" s="30">
        <f>IF(Table3[[#This Row],[Przecena  (%)]]&gt;0,Table3[[#This Row],[Wykryto (szt.)]]-Table3[[#This Row],[Pozostało (szt.)]],Table3[[#This Row],[Wykryto (szt.)]]-Table3[[#This Row],[Przeterminowane (szt.)]])</f>
        <v>4</v>
      </c>
      <c r="Q2" s="30">
        <f>IF(Table3[[#This Row],[Przecena  (%)]]&gt;0,Table3[[#This Row],[Pozostało (szt.)]]-Table3[[#This Row],[Przeterminowane (szt.)]],0)</f>
        <v>12</v>
      </c>
      <c r="R2" s="30">
        <f>Table3[[#This Row],[Wykryto (szt.)]]-Table3[[#This Row],[Przeterminowane (szt.)]]</f>
        <v>16</v>
      </c>
      <c r="S2" s="31">
        <f>Table3[[#This Row],[Odzysk z Przecen (zł)]]+Table3[[#This Row],[Odzysk bez Przecen (zł)]]</f>
        <v>65.144000000000005</v>
      </c>
      <c r="T2" s="31">
        <f>Table3[[#This Row],[Cena (zł)]]*Table3[[#This Row],[Uratowane z przeceną (szt.)]]*Table3[[#This Row],[Przecena  (%)]]</f>
        <v>11.496000000000002</v>
      </c>
      <c r="U2" s="31">
        <f>Table3[[#This Row],[Uratowane z przeceną (szt.)]]*Table3[[#This Row],[Cena (zł)]]*(1-Table3[[#This Row],[Przecena  (%)]])</f>
        <v>45.984000000000009</v>
      </c>
      <c r="V2" s="31">
        <f>Table3[[#This Row],[Uratowane bez przeceny (szt.)]] * Table3[[#This Row],[Cena (zł)]]</f>
        <v>19.16</v>
      </c>
      <c r="W2" s="31">
        <f>Table3[[#This Row],[Cena (zł)]]*Table3[[#This Row],[Przeterminowane (szt.)]]</f>
        <v>0</v>
      </c>
      <c r="X2" s="31">
        <f>Table3[[#This Row],[Koszt Przeceny (zł)]]+Table3[[#This Row],[Strata Rzeczywista (zł)]]</f>
        <v>11.496000000000002</v>
      </c>
      <c r="Y2" s="33" t="s">
        <v>19</v>
      </c>
    </row>
    <row r="3" spans="1:25" x14ac:dyDescent="0.25">
      <c r="A3" s="29" t="s">
        <v>64</v>
      </c>
      <c r="B3" s="29" t="s">
        <v>65</v>
      </c>
      <c r="C3" t="s">
        <v>111</v>
      </c>
      <c r="D3" s="30" t="s">
        <v>15</v>
      </c>
      <c r="E3" s="30" t="s">
        <v>59</v>
      </c>
      <c r="F3" s="30" t="s">
        <v>26</v>
      </c>
      <c r="G3" s="29">
        <v>46142</v>
      </c>
      <c r="H3" s="29" t="str">
        <f t="shared" ref="H3:H26" si="0">TEXT(G3, "[$-pl-PL]mmmm")</f>
        <v>kwiecień</v>
      </c>
      <c r="I3" s="30" t="str">
        <f t="shared" ref="I3:I26" si="1">ROMAN(MONTH(G3))</f>
        <v>IV</v>
      </c>
      <c r="J3" s="31">
        <v>3.59</v>
      </c>
      <c r="K3" s="30">
        <v>14</v>
      </c>
      <c r="L3" s="31">
        <f>Table1[[#This Row],[Cena (zł)]]*Table1[[#This Row],[Wykryto (szt.)]]</f>
        <v>50.26</v>
      </c>
      <c r="M3" s="30">
        <v>5</v>
      </c>
      <c r="N3" s="32">
        <v>0</v>
      </c>
      <c r="O3" s="30">
        <v>0</v>
      </c>
      <c r="P3" s="30">
        <f>IF(Table3[[#This Row],[Przecena  (%)]]&gt;0,Table3[[#This Row],[Wykryto (szt.)]]-Table3[[#This Row],[Pozostało (szt.)]],Table3[[#This Row],[Wykryto (szt.)]]-Table3[[#This Row],[Przeterminowane (szt.)]])</f>
        <v>14</v>
      </c>
      <c r="Q3" s="30">
        <f>IF(Table3[[#This Row],[Przecena  (%)]]&gt;0,Table3[[#This Row],[Pozostało (szt.)]]-Table3[[#This Row],[Przeterminowane (szt.)]],0)</f>
        <v>0</v>
      </c>
      <c r="R3" s="30">
        <f>Table3[[#This Row],[Wykryto (szt.)]]-Table3[[#This Row],[Przeterminowane (szt.)]]</f>
        <v>14</v>
      </c>
      <c r="S3" s="31">
        <f>Table3[[#This Row],[Odzysk z Przecen (zł)]]+Table3[[#This Row],[Odzysk bez Przecen (zł)]]</f>
        <v>50.26</v>
      </c>
      <c r="T3" s="31">
        <f>Table3[[#This Row],[Cena (zł)]]*Table3[[#This Row],[Uratowane z przeceną (szt.)]]*Table3[[#This Row],[Przecena  (%)]]</f>
        <v>0</v>
      </c>
      <c r="U3" s="31">
        <f>Table3[[#This Row],[Uratowane z przeceną (szt.)]]*Table3[[#This Row],[Cena (zł)]]*(1-Table3[[#This Row],[Przecena  (%)]])</f>
        <v>0</v>
      </c>
      <c r="V3" s="31">
        <f>Table3[[#This Row],[Uratowane bez przeceny (szt.)]] * Table3[[#This Row],[Cena (zł)]]</f>
        <v>50.26</v>
      </c>
      <c r="W3" s="31">
        <f>Table3[[#This Row],[Cena (zł)]]*Table3[[#This Row],[Przeterminowane (szt.)]]</f>
        <v>0</v>
      </c>
      <c r="X3" s="31">
        <f>Table3[[#This Row],[Koszt Przeceny (zł)]]+Table3[[#This Row],[Strata Rzeczywista (zł)]]</f>
        <v>0</v>
      </c>
      <c r="Y3" s="33" t="s">
        <v>52</v>
      </c>
    </row>
    <row r="4" spans="1:25" x14ac:dyDescent="0.25">
      <c r="A4" s="29" t="s">
        <v>64</v>
      </c>
      <c r="B4" s="29" t="s">
        <v>65</v>
      </c>
      <c r="C4" t="s">
        <v>111</v>
      </c>
      <c r="D4" s="30" t="s">
        <v>15</v>
      </c>
      <c r="E4" s="30" t="s">
        <v>60</v>
      </c>
      <c r="F4" s="30" t="s">
        <v>26</v>
      </c>
      <c r="G4" s="29">
        <v>46142</v>
      </c>
      <c r="H4" s="29" t="str">
        <f t="shared" si="0"/>
        <v>kwiecień</v>
      </c>
      <c r="I4" s="30" t="str">
        <f t="shared" si="1"/>
        <v>IV</v>
      </c>
      <c r="J4" s="31">
        <v>3.59</v>
      </c>
      <c r="K4" s="30">
        <v>24</v>
      </c>
      <c r="L4" s="31">
        <f>Table1[[#This Row],[Cena (zł)]]*Table1[[#This Row],[Wykryto (szt.)]]</f>
        <v>86.16</v>
      </c>
      <c r="M4" s="30">
        <v>19</v>
      </c>
      <c r="N4" s="32">
        <v>0.2</v>
      </c>
      <c r="O4" s="30">
        <v>0</v>
      </c>
      <c r="P4" s="30">
        <f>IF(Table3[[#This Row],[Przecena  (%)]]&gt;0,Table3[[#This Row],[Wykryto (szt.)]]-Table3[[#This Row],[Pozostało (szt.)]],Table3[[#This Row],[Wykryto (szt.)]]-Table3[[#This Row],[Przeterminowane (szt.)]])</f>
        <v>5</v>
      </c>
      <c r="Q4" s="30">
        <f>IF(Table3[[#This Row],[Przecena  (%)]]&gt;0,Table3[[#This Row],[Pozostało (szt.)]]-Table3[[#This Row],[Przeterminowane (szt.)]],0)</f>
        <v>19</v>
      </c>
      <c r="R4" s="30">
        <f>Table3[[#This Row],[Wykryto (szt.)]]-Table3[[#This Row],[Przeterminowane (szt.)]]</f>
        <v>24</v>
      </c>
      <c r="S4" s="31">
        <f>Table3[[#This Row],[Odzysk z Przecen (zł)]]+Table3[[#This Row],[Odzysk bez Przecen (zł)]]</f>
        <v>72.518000000000001</v>
      </c>
      <c r="T4" s="31">
        <f>Table3[[#This Row],[Cena (zł)]]*Table3[[#This Row],[Uratowane z przeceną (szt.)]]*Table3[[#This Row],[Przecena  (%)]]</f>
        <v>13.641999999999999</v>
      </c>
      <c r="U4" s="31">
        <f>Table3[[#This Row],[Uratowane z przeceną (szt.)]]*Table3[[#This Row],[Cena (zł)]]*(1-Table3[[#This Row],[Przecena  (%)]])</f>
        <v>54.567999999999998</v>
      </c>
      <c r="V4" s="31">
        <f>Table3[[#This Row],[Uratowane bez przeceny (szt.)]] * Table3[[#This Row],[Cena (zł)]]</f>
        <v>17.95</v>
      </c>
      <c r="W4" s="31">
        <f>Table3[[#This Row],[Cena (zł)]]*Table3[[#This Row],[Przeterminowane (szt.)]]</f>
        <v>0</v>
      </c>
      <c r="X4" s="31">
        <f>Table3[[#This Row],[Koszt Przeceny (zł)]]+Table3[[#This Row],[Strata Rzeczywista (zł)]]</f>
        <v>13.641999999999999</v>
      </c>
      <c r="Y4" s="33" t="s">
        <v>19</v>
      </c>
    </row>
    <row r="5" spans="1:25" x14ac:dyDescent="0.25">
      <c r="A5" s="29" t="s">
        <v>64</v>
      </c>
      <c r="B5" s="29" t="s">
        <v>65</v>
      </c>
      <c r="C5" t="s">
        <v>112</v>
      </c>
      <c r="D5" s="30" t="s">
        <v>18</v>
      </c>
      <c r="E5" s="30" t="s">
        <v>61</v>
      </c>
      <c r="F5" s="30" t="s">
        <v>26</v>
      </c>
      <c r="G5" s="29">
        <v>46142</v>
      </c>
      <c r="H5" s="29" t="str">
        <f t="shared" si="0"/>
        <v>kwiecień</v>
      </c>
      <c r="I5" s="30" t="str">
        <f t="shared" si="1"/>
        <v>IV</v>
      </c>
      <c r="J5" s="31">
        <v>4.79</v>
      </c>
      <c r="K5" s="30">
        <v>10</v>
      </c>
      <c r="L5" s="31">
        <f>Table1[[#This Row],[Cena (zł)]]*Table1[[#This Row],[Wykryto (szt.)]]</f>
        <v>47.9</v>
      </c>
      <c r="M5" s="30">
        <v>4</v>
      </c>
      <c r="N5" s="32">
        <v>0</v>
      </c>
      <c r="O5" s="30">
        <v>0</v>
      </c>
      <c r="P5" s="30">
        <f>IF(Table3[[#This Row],[Przecena  (%)]]&gt;0,Table3[[#This Row],[Wykryto (szt.)]]-Table3[[#This Row],[Pozostało (szt.)]],Table3[[#This Row],[Wykryto (szt.)]]-Table3[[#This Row],[Przeterminowane (szt.)]])</f>
        <v>10</v>
      </c>
      <c r="Q5" s="30">
        <f>IF(Table3[[#This Row],[Przecena  (%)]]&gt;0,Table3[[#This Row],[Pozostało (szt.)]]-Table3[[#This Row],[Przeterminowane (szt.)]],0)</f>
        <v>0</v>
      </c>
      <c r="R5" s="30">
        <f>Table3[[#This Row],[Wykryto (szt.)]]-Table3[[#This Row],[Przeterminowane (szt.)]]</f>
        <v>10</v>
      </c>
      <c r="S5" s="31">
        <f>Table3[[#This Row],[Odzysk z Przecen (zł)]]+Table3[[#This Row],[Odzysk bez Przecen (zł)]]</f>
        <v>47.9</v>
      </c>
      <c r="T5" s="31">
        <f>Table3[[#This Row],[Cena (zł)]]*Table3[[#This Row],[Uratowane z przeceną (szt.)]]*Table3[[#This Row],[Przecena  (%)]]</f>
        <v>0</v>
      </c>
      <c r="U5" s="31">
        <f>Table3[[#This Row],[Uratowane z przeceną (szt.)]]*Table3[[#This Row],[Cena (zł)]]*(1-Table3[[#This Row],[Przecena  (%)]])</f>
        <v>0</v>
      </c>
      <c r="V5" s="31">
        <f>Table3[[#This Row],[Uratowane bez przeceny (szt.)]] * Table3[[#This Row],[Cena (zł)]]</f>
        <v>47.9</v>
      </c>
      <c r="W5" s="31">
        <f>Table3[[#This Row],[Cena (zł)]]*Table3[[#This Row],[Przeterminowane (szt.)]]</f>
        <v>0</v>
      </c>
      <c r="X5" s="31">
        <f>Table3[[#This Row],[Koszt Przeceny (zł)]]+Table3[[#This Row],[Strata Rzeczywista (zł)]]</f>
        <v>0</v>
      </c>
      <c r="Y5" s="33" t="s">
        <v>52</v>
      </c>
    </row>
    <row r="6" spans="1:25" x14ac:dyDescent="0.25">
      <c r="A6" s="29" t="s">
        <v>64</v>
      </c>
      <c r="B6" s="29" t="s">
        <v>65</v>
      </c>
      <c r="C6" t="s">
        <v>112</v>
      </c>
      <c r="D6" s="30" t="s">
        <v>18</v>
      </c>
      <c r="E6" s="30" t="s">
        <v>62</v>
      </c>
      <c r="F6" s="30" t="s">
        <v>26</v>
      </c>
      <c r="G6" s="29">
        <v>46142</v>
      </c>
      <c r="H6" s="29" t="str">
        <f t="shared" si="0"/>
        <v>kwiecień</v>
      </c>
      <c r="I6" s="30" t="str">
        <f t="shared" si="1"/>
        <v>IV</v>
      </c>
      <c r="J6" s="31">
        <v>4.79</v>
      </c>
      <c r="K6" s="30">
        <v>13</v>
      </c>
      <c r="L6" s="31">
        <f>Table1[[#This Row],[Cena (zł)]]*Table1[[#This Row],[Wykryto (szt.)]]</f>
        <v>62.27</v>
      </c>
      <c r="M6" s="30">
        <v>5</v>
      </c>
      <c r="N6" s="32">
        <v>0</v>
      </c>
      <c r="O6" s="30">
        <v>2</v>
      </c>
      <c r="P6" s="30">
        <f>IF(Table3[[#This Row],[Przecena  (%)]]&gt;0,Table3[[#This Row],[Wykryto (szt.)]]-Table3[[#This Row],[Pozostało (szt.)]],Table3[[#This Row],[Wykryto (szt.)]]-Table3[[#This Row],[Przeterminowane (szt.)]])</f>
        <v>11</v>
      </c>
      <c r="Q6" s="30">
        <f>IF(Table3[[#This Row],[Przecena  (%)]]&gt;0,Table3[[#This Row],[Pozostało (szt.)]]-Table3[[#This Row],[Przeterminowane (szt.)]],0)</f>
        <v>0</v>
      </c>
      <c r="R6" s="30">
        <f>Table3[[#This Row],[Wykryto (szt.)]]-Table3[[#This Row],[Przeterminowane (szt.)]]</f>
        <v>11</v>
      </c>
      <c r="S6" s="31">
        <f>Table3[[#This Row],[Odzysk z Przecen (zł)]]+Table3[[#This Row],[Odzysk bez Przecen (zł)]]</f>
        <v>52.69</v>
      </c>
      <c r="T6" s="31">
        <f>Table3[[#This Row],[Cena (zł)]]*Table3[[#This Row],[Uratowane z przeceną (szt.)]]*Table3[[#This Row],[Przecena  (%)]]</f>
        <v>0</v>
      </c>
      <c r="U6" s="31">
        <f>Table3[[#This Row],[Uratowane z przeceną (szt.)]]*Table3[[#This Row],[Cena (zł)]]*(1-Table3[[#This Row],[Przecena  (%)]])</f>
        <v>0</v>
      </c>
      <c r="V6" s="31">
        <f>Table3[[#This Row],[Uratowane bez przeceny (szt.)]] * Table3[[#This Row],[Cena (zł)]]</f>
        <v>52.69</v>
      </c>
      <c r="W6" s="31">
        <f>Table3[[#This Row],[Cena (zł)]]*Table3[[#This Row],[Przeterminowane (szt.)]]</f>
        <v>9.58</v>
      </c>
      <c r="X6" s="31">
        <f>Table3[[#This Row],[Koszt Przeceny (zł)]]+Table3[[#This Row],[Strata Rzeczywista (zł)]]</f>
        <v>9.58</v>
      </c>
      <c r="Y6" s="33" t="s">
        <v>109</v>
      </c>
    </row>
    <row r="7" spans="1:25" x14ac:dyDescent="0.25">
      <c r="A7" s="29" t="s">
        <v>64</v>
      </c>
      <c r="B7" s="29" t="s">
        <v>65</v>
      </c>
      <c r="C7" t="s">
        <v>112</v>
      </c>
      <c r="D7" s="30" t="s">
        <v>15</v>
      </c>
      <c r="E7" s="30" t="s">
        <v>63</v>
      </c>
      <c r="F7" s="30" t="s">
        <v>28</v>
      </c>
      <c r="G7" s="29">
        <v>46142</v>
      </c>
      <c r="H7" s="29" t="str">
        <f t="shared" si="0"/>
        <v>kwiecień</v>
      </c>
      <c r="I7" s="30" t="str">
        <f t="shared" si="1"/>
        <v>IV</v>
      </c>
      <c r="J7" s="31">
        <v>2.59</v>
      </c>
      <c r="K7" s="30">
        <v>16</v>
      </c>
      <c r="L7" s="31">
        <f>Table1[[#This Row],[Cena (zł)]]*Table1[[#This Row],[Wykryto (szt.)]]</f>
        <v>41.44</v>
      </c>
      <c r="M7" s="30">
        <v>0</v>
      </c>
      <c r="N7" s="32">
        <v>0</v>
      </c>
      <c r="O7" s="30">
        <v>0</v>
      </c>
      <c r="P7" s="30">
        <f>IF(Table3[[#This Row],[Przecena  (%)]]&gt;0,Table3[[#This Row],[Wykryto (szt.)]]-Table3[[#This Row],[Pozostało (szt.)]],Table3[[#This Row],[Wykryto (szt.)]]-Table3[[#This Row],[Przeterminowane (szt.)]])</f>
        <v>16</v>
      </c>
      <c r="Q7" s="30">
        <f>IF(Table3[[#This Row],[Przecena  (%)]]&gt;0,Table3[[#This Row],[Pozostało (szt.)]]-Table3[[#This Row],[Przeterminowane (szt.)]],0)</f>
        <v>0</v>
      </c>
      <c r="R7" s="30">
        <f>Table3[[#This Row],[Wykryto (szt.)]]-Table3[[#This Row],[Przeterminowane (szt.)]]</f>
        <v>16</v>
      </c>
      <c r="S7" s="31">
        <f>Table3[[#This Row],[Odzysk z Przecen (zł)]]+Table3[[#This Row],[Odzysk bez Przecen (zł)]]</f>
        <v>41.44</v>
      </c>
      <c r="T7" s="31">
        <f>Table3[[#This Row],[Cena (zł)]]*Table3[[#This Row],[Uratowane z przeceną (szt.)]]*Table3[[#This Row],[Przecena  (%)]]</f>
        <v>0</v>
      </c>
      <c r="U7" s="31">
        <f>Table3[[#This Row],[Uratowane z przeceną (szt.)]]*Table3[[#This Row],[Cena (zł)]]*(1-Table3[[#This Row],[Przecena  (%)]])</f>
        <v>0</v>
      </c>
      <c r="V7" s="31">
        <f>Table3[[#This Row],[Uratowane bez przeceny (szt.)]] * Table3[[#This Row],[Cena (zł)]]</f>
        <v>41.44</v>
      </c>
      <c r="W7" s="31">
        <f>Table3[[#This Row],[Cena (zł)]]*Table3[[#This Row],[Przeterminowane (szt.)]]</f>
        <v>0</v>
      </c>
      <c r="X7" s="31">
        <f>Table3[[#This Row],[Koszt Przeceny (zł)]]+Table3[[#This Row],[Strata Rzeczywista (zł)]]</f>
        <v>0</v>
      </c>
      <c r="Y7" s="33" t="s">
        <v>52</v>
      </c>
    </row>
    <row r="8" spans="1:25" x14ac:dyDescent="0.25">
      <c r="A8" s="29" t="s">
        <v>68</v>
      </c>
      <c r="B8" s="29" t="s">
        <v>69</v>
      </c>
      <c r="C8" t="s">
        <v>111</v>
      </c>
      <c r="D8" s="30" t="s">
        <v>18</v>
      </c>
      <c r="E8" s="30" t="s">
        <v>56</v>
      </c>
      <c r="F8" s="30" t="s">
        <v>25</v>
      </c>
      <c r="G8" s="29">
        <v>46173</v>
      </c>
      <c r="H8" s="29" t="str">
        <f t="shared" si="0"/>
        <v>maj</v>
      </c>
      <c r="I8" s="30" t="str">
        <f t="shared" si="1"/>
        <v>V</v>
      </c>
      <c r="J8" s="31">
        <v>6.49</v>
      </c>
      <c r="K8" s="30">
        <v>2</v>
      </c>
      <c r="L8" s="31">
        <f>Table1[[#This Row],[Cena (zł)]]*Table1[[#This Row],[Wykryto (szt.)]]</f>
        <v>12.98</v>
      </c>
      <c r="M8" s="30">
        <v>0</v>
      </c>
      <c r="N8" s="32">
        <v>0</v>
      </c>
      <c r="O8" s="30">
        <v>0</v>
      </c>
      <c r="P8" s="30">
        <f>IF(Table3[[#This Row],[Przecena  (%)]]&gt;0,Table3[[#This Row],[Wykryto (szt.)]]-Table3[[#This Row],[Pozostało (szt.)]],Table3[[#This Row],[Wykryto (szt.)]]-Table3[[#This Row],[Przeterminowane (szt.)]])</f>
        <v>2</v>
      </c>
      <c r="Q8" s="30">
        <f>IF(Table3[[#This Row],[Przecena  (%)]]&gt;0,Table3[[#This Row],[Pozostało (szt.)]]-Table3[[#This Row],[Przeterminowane (szt.)]],0)</f>
        <v>0</v>
      </c>
      <c r="R8" s="30">
        <f>Table3[[#This Row],[Wykryto (szt.)]]-Table3[[#This Row],[Przeterminowane (szt.)]]</f>
        <v>2</v>
      </c>
      <c r="S8" s="31">
        <f>Table3[[#This Row],[Odzysk z Przecen (zł)]]+Table3[[#This Row],[Odzysk bez Przecen (zł)]]</f>
        <v>12.98</v>
      </c>
      <c r="T8" s="31">
        <f>Table3[[#This Row],[Cena (zł)]]*Table3[[#This Row],[Uratowane z przeceną (szt.)]]*Table3[[#This Row],[Przecena  (%)]]</f>
        <v>0</v>
      </c>
      <c r="U8" s="31">
        <f>Table3[[#This Row],[Uratowane z przeceną (szt.)]]*Table3[[#This Row],[Cena (zł)]]*(1-Table3[[#This Row],[Przecena  (%)]])</f>
        <v>0</v>
      </c>
      <c r="V8" s="31">
        <f>Table3[[#This Row],[Uratowane bez przeceny (szt.)]] * Table3[[#This Row],[Cena (zł)]]</f>
        <v>12.98</v>
      </c>
      <c r="W8" s="31">
        <f>Table3[[#This Row],[Cena (zł)]]*Table3[[#This Row],[Przeterminowane (szt.)]]</f>
        <v>0</v>
      </c>
      <c r="X8" s="31">
        <f>Table3[[#This Row],[Koszt Przeceny (zł)]]+Table3[[#This Row],[Strata Rzeczywista (zł)]]</f>
        <v>0</v>
      </c>
      <c r="Y8" s="33" t="s">
        <v>52</v>
      </c>
    </row>
    <row r="9" spans="1:25" x14ac:dyDescent="0.25">
      <c r="A9" s="29" t="s">
        <v>68</v>
      </c>
      <c r="B9" s="29" t="s">
        <v>69</v>
      </c>
      <c r="C9" t="s">
        <v>111</v>
      </c>
      <c r="D9" s="30" t="s">
        <v>18</v>
      </c>
      <c r="E9" s="30" t="s">
        <v>57</v>
      </c>
      <c r="F9" s="30" t="s">
        <v>25</v>
      </c>
      <c r="G9" s="29">
        <v>46173</v>
      </c>
      <c r="H9" s="29" t="str">
        <f t="shared" si="0"/>
        <v>maj</v>
      </c>
      <c r="I9" s="30" t="str">
        <f t="shared" si="1"/>
        <v>V</v>
      </c>
      <c r="J9" s="31">
        <v>6.49</v>
      </c>
      <c r="K9" s="30">
        <v>3</v>
      </c>
      <c r="L9" s="31">
        <f>Table1[[#This Row],[Cena (zł)]]*Table1[[#This Row],[Wykryto (szt.)]]</f>
        <v>19.47</v>
      </c>
      <c r="M9" s="30">
        <v>0</v>
      </c>
      <c r="N9" s="32">
        <v>0</v>
      </c>
      <c r="O9" s="30">
        <v>0</v>
      </c>
      <c r="P9" s="30">
        <f>IF(Table3[[#This Row],[Przecena  (%)]]&gt;0,Table3[[#This Row],[Wykryto (szt.)]]-Table3[[#This Row],[Pozostało (szt.)]],Table3[[#This Row],[Wykryto (szt.)]]-Table3[[#This Row],[Przeterminowane (szt.)]])</f>
        <v>3</v>
      </c>
      <c r="Q9" s="30">
        <f>IF(Table3[[#This Row],[Przecena  (%)]]&gt;0,Table3[[#This Row],[Pozostało (szt.)]]-Table3[[#This Row],[Przeterminowane (szt.)]],0)</f>
        <v>0</v>
      </c>
      <c r="R9" s="30">
        <f>Table3[[#This Row],[Wykryto (szt.)]]-Table3[[#This Row],[Przeterminowane (szt.)]]</f>
        <v>3</v>
      </c>
      <c r="S9" s="31">
        <f>Table3[[#This Row],[Odzysk z Przecen (zł)]]+Table3[[#This Row],[Odzysk bez Przecen (zł)]]</f>
        <v>19.47</v>
      </c>
      <c r="T9" s="31">
        <f>Table3[[#This Row],[Cena (zł)]]*Table3[[#This Row],[Uratowane z przeceną (szt.)]]*Table3[[#This Row],[Przecena  (%)]]</f>
        <v>0</v>
      </c>
      <c r="U9" s="31">
        <f>Table3[[#This Row],[Uratowane z przeceną (szt.)]]*Table3[[#This Row],[Cena (zł)]]*(1-Table3[[#This Row],[Przecena  (%)]])</f>
        <v>0</v>
      </c>
      <c r="V9" s="31">
        <f>Table3[[#This Row],[Uratowane bez przeceny (szt.)]] * Table3[[#This Row],[Cena (zł)]]</f>
        <v>19.47</v>
      </c>
      <c r="W9" s="31">
        <f>Table3[[#This Row],[Cena (zł)]]*Table3[[#This Row],[Przeterminowane (szt.)]]</f>
        <v>0</v>
      </c>
      <c r="X9" s="31">
        <f>Table3[[#This Row],[Koszt Przeceny (zł)]]+Table3[[#This Row],[Strata Rzeczywista (zł)]]</f>
        <v>0</v>
      </c>
      <c r="Y9" s="33" t="s">
        <v>52</v>
      </c>
    </row>
    <row r="10" spans="1:25" x14ac:dyDescent="0.25">
      <c r="A10" s="29" t="s">
        <v>68</v>
      </c>
      <c r="B10" s="29" t="s">
        <v>69</v>
      </c>
      <c r="C10" t="s">
        <v>111</v>
      </c>
      <c r="D10" s="30" t="s">
        <v>18</v>
      </c>
      <c r="E10" s="30" t="s">
        <v>55</v>
      </c>
      <c r="F10" s="30" t="s">
        <v>29</v>
      </c>
      <c r="G10" s="29">
        <v>46173</v>
      </c>
      <c r="H10" s="29" t="str">
        <f t="shared" si="0"/>
        <v>maj</v>
      </c>
      <c r="I10" s="30" t="str">
        <f t="shared" si="1"/>
        <v>V</v>
      </c>
      <c r="J10" s="31">
        <v>6.49</v>
      </c>
      <c r="K10" s="30">
        <v>11</v>
      </c>
      <c r="L10" s="31">
        <f>Table1[[#This Row],[Cena (zł)]]*Table1[[#This Row],[Wykryto (szt.)]]</f>
        <v>71.39</v>
      </c>
      <c r="M10" s="30">
        <v>4</v>
      </c>
      <c r="N10" s="32">
        <v>0</v>
      </c>
      <c r="O10" s="30">
        <v>0</v>
      </c>
      <c r="P10" s="30">
        <f>IF(Table3[[#This Row],[Przecena  (%)]]&gt;0,Table3[[#This Row],[Wykryto (szt.)]]-Table3[[#This Row],[Pozostało (szt.)]],Table3[[#This Row],[Wykryto (szt.)]]-Table3[[#This Row],[Przeterminowane (szt.)]])</f>
        <v>11</v>
      </c>
      <c r="Q10" s="30">
        <f>IF(Table3[[#This Row],[Przecena  (%)]]&gt;0,Table3[[#This Row],[Pozostało (szt.)]]-Table3[[#This Row],[Przeterminowane (szt.)]],0)</f>
        <v>0</v>
      </c>
      <c r="R10" s="30">
        <f>Table3[[#This Row],[Wykryto (szt.)]]-Table3[[#This Row],[Przeterminowane (szt.)]]</f>
        <v>11</v>
      </c>
      <c r="S10" s="31">
        <f>Table3[[#This Row],[Odzysk z Przecen (zł)]]+Table3[[#This Row],[Odzysk bez Przecen (zł)]]</f>
        <v>71.39</v>
      </c>
      <c r="T10" s="31">
        <f>Table3[[#This Row],[Cena (zł)]]*Table3[[#This Row],[Uratowane z przeceną (szt.)]]*Table3[[#This Row],[Przecena  (%)]]</f>
        <v>0</v>
      </c>
      <c r="U10" s="31">
        <f>Table3[[#This Row],[Uratowane z przeceną (szt.)]]*Table3[[#This Row],[Cena (zł)]]*(1-Table3[[#This Row],[Przecena  (%)]])</f>
        <v>0</v>
      </c>
      <c r="V10" s="31">
        <f>Table3[[#This Row],[Uratowane bez przeceny (szt.)]] * Table3[[#This Row],[Cena (zł)]]</f>
        <v>71.39</v>
      </c>
      <c r="W10" s="31">
        <f>Table3[[#This Row],[Cena (zł)]]*Table3[[#This Row],[Przeterminowane (szt.)]]</f>
        <v>0</v>
      </c>
      <c r="X10" s="31">
        <f>Table3[[#This Row],[Koszt Przeceny (zł)]]+Table3[[#This Row],[Strata Rzeczywista (zł)]]</f>
        <v>0</v>
      </c>
      <c r="Y10" s="33" t="s">
        <v>52</v>
      </c>
    </row>
    <row r="11" spans="1:25" x14ac:dyDescent="0.25">
      <c r="A11" s="29" t="s">
        <v>68</v>
      </c>
      <c r="B11" s="29" t="s">
        <v>70</v>
      </c>
      <c r="C11" t="s">
        <v>111</v>
      </c>
      <c r="D11" s="30" t="s">
        <v>15</v>
      </c>
      <c r="E11" s="30" t="s">
        <v>58</v>
      </c>
      <c r="F11" s="30" t="s">
        <v>30</v>
      </c>
      <c r="G11" s="29">
        <v>46160</v>
      </c>
      <c r="H11" s="29" t="str">
        <f t="shared" si="0"/>
        <v>maj</v>
      </c>
      <c r="I11" s="30" t="str">
        <f t="shared" si="1"/>
        <v>V</v>
      </c>
      <c r="J11" s="31">
        <v>12.99</v>
      </c>
      <c r="K11" s="30">
        <v>24</v>
      </c>
      <c r="L11" s="31">
        <f>Table1[[#This Row],[Cena (zł)]]*Table1[[#This Row],[Wykryto (szt.)]]</f>
        <v>311.76</v>
      </c>
      <c r="M11" s="30">
        <v>8</v>
      </c>
      <c r="N11" s="32">
        <v>0.4</v>
      </c>
      <c r="O11" s="30">
        <v>0</v>
      </c>
      <c r="P11" s="30">
        <f>IF(Table3[[#This Row],[Przecena  (%)]]&gt;0,Table3[[#This Row],[Wykryto (szt.)]]-Table3[[#This Row],[Pozostało (szt.)]],Table3[[#This Row],[Wykryto (szt.)]]-Table3[[#This Row],[Przeterminowane (szt.)]])</f>
        <v>16</v>
      </c>
      <c r="Q11" s="30">
        <f>IF(Table3[[#This Row],[Przecena  (%)]]&gt;0,Table3[[#This Row],[Pozostało (szt.)]]-Table3[[#This Row],[Przeterminowane (szt.)]],0)</f>
        <v>8</v>
      </c>
      <c r="R11" s="30">
        <f>Table3[[#This Row],[Wykryto (szt.)]]-Table3[[#This Row],[Przeterminowane (szt.)]]</f>
        <v>24</v>
      </c>
      <c r="S11" s="31">
        <f>Table3[[#This Row],[Odzysk z Przecen (zł)]]+Table3[[#This Row],[Odzysk bez Przecen (zł)]]</f>
        <v>270.19200000000001</v>
      </c>
      <c r="T11" s="31">
        <f>Table3[[#This Row],[Cena (zł)]]*Table3[[#This Row],[Uratowane z przeceną (szt.)]]*Table3[[#This Row],[Przecena  (%)]]</f>
        <v>41.568000000000005</v>
      </c>
      <c r="U11" s="31">
        <f>Table3[[#This Row],[Uratowane z przeceną (szt.)]]*Table3[[#This Row],[Cena (zł)]]*(1-Table3[[#This Row],[Przecena  (%)]])</f>
        <v>62.351999999999997</v>
      </c>
      <c r="V11" s="31">
        <f>Table3[[#This Row],[Uratowane bez przeceny (szt.)]] * Table3[[#This Row],[Cena (zł)]]</f>
        <v>207.84</v>
      </c>
      <c r="W11" s="31">
        <f>Table3[[#This Row],[Cena (zł)]]*Table3[[#This Row],[Przeterminowane (szt.)]]</f>
        <v>0</v>
      </c>
      <c r="X11" s="31">
        <f>Table3[[#This Row],[Koszt Przeceny (zł)]]+Table3[[#This Row],[Strata Rzeczywista (zł)]]</f>
        <v>41.568000000000005</v>
      </c>
      <c r="Y11" s="33" t="s">
        <v>71</v>
      </c>
    </row>
    <row r="12" spans="1:25" x14ac:dyDescent="0.25">
      <c r="A12" s="29" t="s">
        <v>68</v>
      </c>
      <c r="B12" s="29" t="s">
        <v>70</v>
      </c>
      <c r="C12" t="s">
        <v>112</v>
      </c>
      <c r="D12" s="30" t="s">
        <v>15</v>
      </c>
      <c r="E12" s="30" t="s">
        <v>53</v>
      </c>
      <c r="F12" s="30" t="s">
        <v>30</v>
      </c>
      <c r="G12" s="29">
        <v>46157</v>
      </c>
      <c r="H12" s="29" t="str">
        <f t="shared" si="0"/>
        <v>maj</v>
      </c>
      <c r="I12" s="30" t="str">
        <f t="shared" si="1"/>
        <v>V</v>
      </c>
      <c r="J12" s="31">
        <v>8.99</v>
      </c>
      <c r="K12" s="30">
        <v>5</v>
      </c>
      <c r="L12" s="31">
        <f>Table1[[#This Row],[Cena (zł)]]*Table1[[#This Row],[Wykryto (szt.)]]</f>
        <v>44.95</v>
      </c>
      <c r="M12" s="30">
        <v>3</v>
      </c>
      <c r="N12" s="32">
        <v>0.4</v>
      </c>
      <c r="O12" s="30">
        <v>0</v>
      </c>
      <c r="P12" s="30">
        <f>IF(Table3[[#This Row],[Przecena  (%)]]&gt;0,Table3[[#This Row],[Wykryto (szt.)]]-Table3[[#This Row],[Pozostało (szt.)]],Table3[[#This Row],[Wykryto (szt.)]]-Table3[[#This Row],[Przeterminowane (szt.)]])</f>
        <v>2</v>
      </c>
      <c r="Q12" s="30">
        <f>IF(Table3[[#This Row],[Przecena  (%)]]&gt;0,Table3[[#This Row],[Pozostało (szt.)]]-Table3[[#This Row],[Przeterminowane (szt.)]],0)</f>
        <v>3</v>
      </c>
      <c r="R12" s="30">
        <f>Table3[[#This Row],[Wykryto (szt.)]]-Table3[[#This Row],[Przeterminowane (szt.)]]</f>
        <v>5</v>
      </c>
      <c r="S12" s="31">
        <f>Table3[[#This Row],[Odzysk z Przecen (zł)]]+Table3[[#This Row],[Odzysk bez Przecen (zł)]]</f>
        <v>34.161999999999999</v>
      </c>
      <c r="T12" s="31">
        <f>Table3[[#This Row],[Cena (zł)]]*Table3[[#This Row],[Uratowane z przeceną (szt.)]]*Table3[[#This Row],[Przecena  (%)]]</f>
        <v>10.788</v>
      </c>
      <c r="U12" s="31">
        <f>Table3[[#This Row],[Uratowane z przeceną (szt.)]]*Table3[[#This Row],[Cena (zł)]]*(1-Table3[[#This Row],[Przecena  (%)]])</f>
        <v>16.181999999999999</v>
      </c>
      <c r="V12" s="31">
        <f>Table3[[#This Row],[Uratowane bez przeceny (szt.)]] * Table3[[#This Row],[Cena (zł)]]</f>
        <v>17.98</v>
      </c>
      <c r="W12" s="31">
        <f>Table3[[#This Row],[Cena (zł)]]*Table3[[#This Row],[Przeterminowane (szt.)]]</f>
        <v>0</v>
      </c>
      <c r="X12" s="31">
        <f>Table3[[#This Row],[Koszt Przeceny (zł)]]+Table3[[#This Row],[Strata Rzeczywista (zł)]]</f>
        <v>10.788</v>
      </c>
      <c r="Y12" s="33" t="s">
        <v>19</v>
      </c>
    </row>
    <row r="13" spans="1:25" x14ac:dyDescent="0.25">
      <c r="A13" s="29" t="s">
        <v>68</v>
      </c>
      <c r="B13" s="29" t="s">
        <v>69</v>
      </c>
      <c r="C13" t="s">
        <v>112</v>
      </c>
      <c r="D13" s="30" t="s">
        <v>18</v>
      </c>
      <c r="E13" s="30" t="s">
        <v>54</v>
      </c>
      <c r="F13" s="30" t="s">
        <v>31</v>
      </c>
      <c r="G13" s="29">
        <v>46173</v>
      </c>
      <c r="H13" s="29" t="str">
        <f t="shared" si="0"/>
        <v>maj</v>
      </c>
      <c r="I13" s="30" t="str">
        <f t="shared" si="1"/>
        <v>V</v>
      </c>
      <c r="J13" s="31">
        <v>7.49</v>
      </c>
      <c r="K13" s="30">
        <v>6</v>
      </c>
      <c r="L13" s="31">
        <f>Table1[[#This Row],[Cena (zł)]]*Table1[[#This Row],[Wykryto (szt.)]]</f>
        <v>44.94</v>
      </c>
      <c r="M13" s="30">
        <v>2</v>
      </c>
      <c r="N13" s="32">
        <v>0</v>
      </c>
      <c r="O13" s="30">
        <v>0</v>
      </c>
      <c r="P13" s="30">
        <f>IF(Table3[[#This Row],[Przecena  (%)]]&gt;0,Table3[[#This Row],[Wykryto (szt.)]]-Table3[[#This Row],[Pozostało (szt.)]],Table3[[#This Row],[Wykryto (szt.)]]-Table3[[#This Row],[Przeterminowane (szt.)]])</f>
        <v>6</v>
      </c>
      <c r="Q13" s="30">
        <f>IF(Table3[[#This Row],[Przecena  (%)]]&gt;0,Table3[[#This Row],[Pozostało (szt.)]]-Table3[[#This Row],[Przeterminowane (szt.)]],0)</f>
        <v>0</v>
      </c>
      <c r="R13" s="30">
        <f>Table3[[#This Row],[Wykryto (szt.)]]-Table3[[#This Row],[Przeterminowane (szt.)]]</f>
        <v>6</v>
      </c>
      <c r="S13" s="31">
        <f>Table3[[#This Row],[Odzysk z Przecen (zł)]]+Table3[[#This Row],[Odzysk bez Przecen (zł)]]</f>
        <v>44.94</v>
      </c>
      <c r="T13" s="31">
        <f>Table3[[#This Row],[Cena (zł)]]*Table3[[#This Row],[Uratowane z przeceną (szt.)]]*Table3[[#This Row],[Przecena  (%)]]</f>
        <v>0</v>
      </c>
      <c r="U13" s="31">
        <f>Table3[[#This Row],[Uratowane z przeceną (szt.)]]*Table3[[#This Row],[Cena (zł)]]*(1-Table3[[#This Row],[Przecena  (%)]])</f>
        <v>0</v>
      </c>
      <c r="V13" s="31">
        <f>Table3[[#This Row],[Uratowane bez przeceny (szt.)]] * Table3[[#This Row],[Cena (zł)]]</f>
        <v>44.94</v>
      </c>
      <c r="W13" s="31">
        <f>Table3[[#This Row],[Cena (zł)]]*Table3[[#This Row],[Przeterminowane (szt.)]]</f>
        <v>0</v>
      </c>
      <c r="X13" s="31">
        <f>Table3[[#This Row],[Koszt Przeceny (zł)]]+Table3[[#This Row],[Strata Rzeczywista (zł)]]</f>
        <v>0</v>
      </c>
      <c r="Y13" s="33" t="s">
        <v>52</v>
      </c>
    </row>
    <row r="14" spans="1:25" x14ac:dyDescent="0.25">
      <c r="A14" s="29" t="s">
        <v>14</v>
      </c>
      <c r="B14" s="29" t="s">
        <v>72</v>
      </c>
      <c r="C14" t="s">
        <v>111</v>
      </c>
      <c r="D14" s="30" t="s">
        <v>15</v>
      </c>
      <c r="E14" s="30" t="s">
        <v>16</v>
      </c>
      <c r="F14" s="30" t="s">
        <v>24</v>
      </c>
      <c r="G14" s="29">
        <v>46203</v>
      </c>
      <c r="H14" s="29" t="str">
        <f t="shared" si="0"/>
        <v>czerwiec</v>
      </c>
      <c r="I14" s="30" t="str">
        <f t="shared" si="1"/>
        <v>VI</v>
      </c>
      <c r="J14" s="31">
        <v>2.99</v>
      </c>
      <c r="K14" s="30">
        <v>25</v>
      </c>
      <c r="L14" s="31">
        <f>Table1[[#This Row],[Cena (zł)]]*Table1[[#This Row],[Wykryto (szt.)]]</f>
        <v>74.75</v>
      </c>
      <c r="M14" s="30">
        <v>19</v>
      </c>
      <c r="N14" s="32">
        <v>0.2</v>
      </c>
      <c r="O14" s="30">
        <v>6</v>
      </c>
      <c r="P14" s="30">
        <f>IF(Table3[[#This Row],[Przecena  (%)]]&gt;0,Table3[[#This Row],[Wykryto (szt.)]]-Table3[[#This Row],[Pozostało (szt.)]],Table3[[#This Row],[Wykryto (szt.)]]-Table3[[#This Row],[Przeterminowane (szt.)]])</f>
        <v>6</v>
      </c>
      <c r="Q14" s="30">
        <f>IF(Table3[[#This Row],[Przecena  (%)]]&gt;0,Table3[[#This Row],[Pozostało (szt.)]]-Table3[[#This Row],[Przeterminowane (szt.)]],0)</f>
        <v>13</v>
      </c>
      <c r="R14" s="30">
        <f>Table3[[#This Row],[Wykryto (szt.)]]-Table3[[#This Row],[Przeterminowane (szt.)]]</f>
        <v>19</v>
      </c>
      <c r="S14" s="31">
        <f>Table3[[#This Row],[Odzysk z Przecen (zł)]]+Table3[[#This Row],[Odzysk bez Przecen (zł)]]</f>
        <v>49.036000000000001</v>
      </c>
      <c r="T14" s="31">
        <f>Table3[[#This Row],[Cena (zł)]]*Table3[[#This Row],[Uratowane z przeceną (szt.)]]*Table3[[#This Row],[Przecena  (%)]]</f>
        <v>7.7740000000000009</v>
      </c>
      <c r="U14" s="31">
        <f>Table3[[#This Row],[Uratowane z przeceną (szt.)]]*Table3[[#This Row],[Cena (zł)]]*(1-Table3[[#This Row],[Przecena  (%)]])</f>
        <v>31.096000000000004</v>
      </c>
      <c r="V14" s="31">
        <f>Table3[[#This Row],[Uratowane bez przeceny (szt.)]] * Table3[[#This Row],[Cena (zł)]]</f>
        <v>17.940000000000001</v>
      </c>
      <c r="W14" s="31">
        <f>Table3[[#This Row],[Cena (zł)]]*Table3[[#This Row],[Przeterminowane (szt.)]]</f>
        <v>17.940000000000001</v>
      </c>
      <c r="X14" s="31">
        <f>Table3[[#This Row],[Koszt Przeceny (zł)]]+Table3[[#This Row],[Strata Rzeczywista (zł)]]</f>
        <v>25.714000000000002</v>
      </c>
      <c r="Y14" s="33" t="s">
        <v>19</v>
      </c>
    </row>
    <row r="15" spans="1:25" x14ac:dyDescent="0.25">
      <c r="A15" s="29" t="s">
        <v>14</v>
      </c>
      <c r="B15" s="29" t="s">
        <v>72</v>
      </c>
      <c r="C15" t="s">
        <v>111</v>
      </c>
      <c r="D15" s="30" t="s">
        <v>15</v>
      </c>
      <c r="E15" s="30" t="s">
        <v>42</v>
      </c>
      <c r="F15" s="30" t="s">
        <v>26</v>
      </c>
      <c r="G15" s="29">
        <v>46203</v>
      </c>
      <c r="H15" s="29" t="str">
        <f t="shared" si="0"/>
        <v>czerwiec</v>
      </c>
      <c r="I15" s="30" t="str">
        <f t="shared" si="1"/>
        <v>VI</v>
      </c>
      <c r="J15" s="31">
        <v>3.59</v>
      </c>
      <c r="K15" s="30">
        <v>15</v>
      </c>
      <c r="L15" s="31">
        <f>Table1[[#This Row],[Cena (zł)]]*Table1[[#This Row],[Wykryto (szt.)]]</f>
        <v>53.849999999999994</v>
      </c>
      <c r="M15" s="30">
        <v>15</v>
      </c>
      <c r="N15" s="32">
        <v>0.2</v>
      </c>
      <c r="O15" s="30">
        <v>3</v>
      </c>
      <c r="P15" s="30">
        <f>IF(Table3[[#This Row],[Przecena  (%)]]&gt;0,Table3[[#This Row],[Wykryto (szt.)]]-Table3[[#This Row],[Pozostało (szt.)]],Table3[[#This Row],[Wykryto (szt.)]]-Table3[[#This Row],[Przeterminowane (szt.)]])</f>
        <v>0</v>
      </c>
      <c r="Q15" s="30">
        <f>IF(Table3[[#This Row],[Przecena  (%)]]&gt;0,Table3[[#This Row],[Pozostało (szt.)]]-Table3[[#This Row],[Przeterminowane (szt.)]],0)</f>
        <v>12</v>
      </c>
      <c r="R15" s="30">
        <f>Table3[[#This Row],[Wykryto (szt.)]]-Table3[[#This Row],[Przeterminowane (szt.)]]</f>
        <v>12</v>
      </c>
      <c r="S15" s="31">
        <f>Table3[[#This Row],[Odzysk z Przecen (zł)]]+Table3[[#This Row],[Odzysk bez Przecen (zł)]]</f>
        <v>34.463999999999999</v>
      </c>
      <c r="T15" s="31">
        <f>Table3[[#This Row],[Cena (zł)]]*Table3[[#This Row],[Uratowane z przeceną (szt.)]]*Table3[[#This Row],[Przecena  (%)]]</f>
        <v>8.6159999999999997</v>
      </c>
      <c r="U15" s="31">
        <f>Table3[[#This Row],[Uratowane z przeceną (szt.)]]*Table3[[#This Row],[Cena (zł)]]*(1-Table3[[#This Row],[Przecena  (%)]])</f>
        <v>34.463999999999999</v>
      </c>
      <c r="V15" s="31">
        <f>Table3[[#This Row],[Uratowane bez przeceny (szt.)]] * Table3[[#This Row],[Cena (zł)]]</f>
        <v>0</v>
      </c>
      <c r="W15" s="31">
        <f>Table3[[#This Row],[Cena (zł)]]*Table3[[#This Row],[Przeterminowane (szt.)]]</f>
        <v>10.77</v>
      </c>
      <c r="X15" s="31">
        <f>Table3[[#This Row],[Koszt Przeceny (zł)]]+Table3[[#This Row],[Strata Rzeczywista (zł)]]</f>
        <v>19.385999999999999</v>
      </c>
      <c r="Y15" s="33" t="s">
        <v>19</v>
      </c>
    </row>
    <row r="16" spans="1:25" x14ac:dyDescent="0.25">
      <c r="A16" s="29" t="s">
        <v>14</v>
      </c>
      <c r="B16" s="29" t="s">
        <v>72</v>
      </c>
      <c r="C16" t="s">
        <v>111</v>
      </c>
      <c r="D16" s="30" t="s">
        <v>18</v>
      </c>
      <c r="E16" s="30" t="s">
        <v>17</v>
      </c>
      <c r="F16" s="30" t="s">
        <v>25</v>
      </c>
      <c r="G16" s="29">
        <v>46203</v>
      </c>
      <c r="H16" s="29" t="str">
        <f t="shared" si="0"/>
        <v>czerwiec</v>
      </c>
      <c r="I16" s="30" t="str">
        <f t="shared" si="1"/>
        <v>VI</v>
      </c>
      <c r="J16" s="31">
        <v>6.49</v>
      </c>
      <c r="K16" s="30">
        <v>8</v>
      </c>
      <c r="L16" s="31">
        <f>Table1[[#This Row],[Cena (zł)]]*Table1[[#This Row],[Wykryto (szt.)]]</f>
        <v>51.92</v>
      </c>
      <c r="M16" s="30">
        <v>2</v>
      </c>
      <c r="N16" s="32">
        <v>0</v>
      </c>
      <c r="O16" s="30">
        <v>2</v>
      </c>
      <c r="P16" s="30">
        <f>IF(Table3[[#This Row],[Przecena  (%)]]&gt;0,Table3[[#This Row],[Wykryto (szt.)]]-Table3[[#This Row],[Pozostało (szt.)]],Table3[[#This Row],[Wykryto (szt.)]]-Table3[[#This Row],[Przeterminowane (szt.)]])</f>
        <v>6</v>
      </c>
      <c r="Q16" s="30">
        <f>IF(Table3[[#This Row],[Przecena  (%)]]&gt;0,Table3[[#This Row],[Pozostało (szt.)]]-Table3[[#This Row],[Przeterminowane (szt.)]],0)</f>
        <v>0</v>
      </c>
      <c r="R16" s="30">
        <f>Table3[[#This Row],[Wykryto (szt.)]]-Table3[[#This Row],[Przeterminowane (szt.)]]</f>
        <v>6</v>
      </c>
      <c r="S16" s="31">
        <f>Table3[[#This Row],[Odzysk z Przecen (zł)]]+Table3[[#This Row],[Odzysk bez Przecen (zł)]]</f>
        <v>38.94</v>
      </c>
      <c r="T16" s="31">
        <f>Table3[[#This Row],[Cena (zł)]]*Table3[[#This Row],[Uratowane z przeceną (szt.)]]*Table3[[#This Row],[Przecena  (%)]]</f>
        <v>0</v>
      </c>
      <c r="U16" s="31">
        <f>Table3[[#This Row],[Uratowane z przeceną (szt.)]]*Table3[[#This Row],[Cena (zł)]]*(1-Table3[[#This Row],[Przecena  (%)]])</f>
        <v>0</v>
      </c>
      <c r="V16" s="31">
        <f>Table3[[#This Row],[Uratowane bez przeceny (szt.)]] * Table3[[#This Row],[Cena (zł)]]</f>
        <v>38.94</v>
      </c>
      <c r="W16" s="31">
        <f>Table3[[#This Row],[Cena (zł)]]*Table3[[#This Row],[Przeterminowane (szt.)]]</f>
        <v>12.98</v>
      </c>
      <c r="X16" s="31">
        <f>Table3[[#This Row],[Koszt Przeceny (zł)]]+Table3[[#This Row],[Strata Rzeczywista (zł)]]</f>
        <v>12.98</v>
      </c>
      <c r="Y16" s="33" t="s">
        <v>109</v>
      </c>
    </row>
    <row r="17" spans="1:26" x14ac:dyDescent="0.25">
      <c r="A17" s="29" t="s">
        <v>14</v>
      </c>
      <c r="B17" s="29" t="s">
        <v>72</v>
      </c>
      <c r="C17" t="s">
        <v>112</v>
      </c>
      <c r="D17" s="30" t="s">
        <v>18</v>
      </c>
      <c r="E17" s="30" t="s">
        <v>61</v>
      </c>
      <c r="F17" s="30" t="s">
        <v>26</v>
      </c>
      <c r="G17" s="29">
        <v>46203</v>
      </c>
      <c r="H17" s="29" t="str">
        <f t="shared" si="0"/>
        <v>czerwiec</v>
      </c>
      <c r="I17" s="30" t="str">
        <f t="shared" si="1"/>
        <v>VI</v>
      </c>
      <c r="J17" s="31">
        <v>4.99</v>
      </c>
      <c r="K17" s="30">
        <v>9</v>
      </c>
      <c r="L17" s="31">
        <f>Table1[[#This Row],[Cena (zł)]]*Table1[[#This Row],[Wykryto (szt.)]]</f>
        <v>44.910000000000004</v>
      </c>
      <c r="M17" s="30">
        <v>3</v>
      </c>
      <c r="N17" s="32">
        <v>0</v>
      </c>
      <c r="O17" s="30">
        <v>0</v>
      </c>
      <c r="P17" s="30">
        <f>IF(Table3[[#This Row],[Przecena  (%)]]&gt;0,Table3[[#This Row],[Wykryto (szt.)]]-Table3[[#This Row],[Pozostało (szt.)]],Table3[[#This Row],[Wykryto (szt.)]]-Table3[[#This Row],[Przeterminowane (szt.)]])</f>
        <v>9</v>
      </c>
      <c r="Q17" s="30">
        <f>IF(Table3[[#This Row],[Przecena  (%)]]&gt;0,Table3[[#This Row],[Pozostało (szt.)]]-Table3[[#This Row],[Przeterminowane (szt.)]],0)</f>
        <v>0</v>
      </c>
      <c r="R17" s="30">
        <f>Table3[[#This Row],[Wykryto (szt.)]]-Table3[[#This Row],[Przeterminowane (szt.)]]</f>
        <v>9</v>
      </c>
      <c r="S17" s="31">
        <f>Table3[[#This Row],[Odzysk z Przecen (zł)]]+Table3[[#This Row],[Odzysk bez Przecen (zł)]]</f>
        <v>44.910000000000004</v>
      </c>
      <c r="T17" s="31">
        <f>Table3[[#This Row],[Cena (zł)]]*Table3[[#This Row],[Uratowane z przeceną (szt.)]]*Table3[[#This Row],[Przecena  (%)]]</f>
        <v>0</v>
      </c>
      <c r="U17" s="31">
        <f>Table3[[#This Row],[Uratowane z przeceną (szt.)]]*Table3[[#This Row],[Cena (zł)]]*(1-Table3[[#This Row],[Przecena  (%)]])</f>
        <v>0</v>
      </c>
      <c r="V17" s="31">
        <f>Table3[[#This Row],[Uratowane bez przeceny (szt.)]] * Table3[[#This Row],[Cena (zł)]]</f>
        <v>44.910000000000004</v>
      </c>
      <c r="W17" s="31">
        <f>Table3[[#This Row],[Cena (zł)]]*Table3[[#This Row],[Przeterminowane (szt.)]]</f>
        <v>0</v>
      </c>
      <c r="X17" s="31">
        <f>Table3[[#This Row],[Koszt Przeceny (zł)]]+Table3[[#This Row],[Strata Rzeczywista (zł)]]</f>
        <v>0</v>
      </c>
      <c r="Y17" s="33" t="s">
        <v>52</v>
      </c>
    </row>
    <row r="18" spans="1:26" x14ac:dyDescent="0.25">
      <c r="A18" s="29" t="s">
        <v>14</v>
      </c>
      <c r="B18" s="29" t="s">
        <v>72</v>
      </c>
      <c r="C18" t="s">
        <v>112</v>
      </c>
      <c r="D18" s="30" t="s">
        <v>15</v>
      </c>
      <c r="E18" s="30" t="s">
        <v>43</v>
      </c>
      <c r="F18" s="30" t="s">
        <v>24</v>
      </c>
      <c r="G18" s="29">
        <v>46203</v>
      </c>
      <c r="H18" s="29" t="str">
        <f t="shared" si="0"/>
        <v>czerwiec</v>
      </c>
      <c r="I18" s="30" t="str">
        <f t="shared" si="1"/>
        <v>VI</v>
      </c>
      <c r="J18" s="31">
        <v>2.99</v>
      </c>
      <c r="K18" s="30">
        <v>16</v>
      </c>
      <c r="L18" s="31">
        <f>Table1[[#This Row],[Cena (zł)]]*Table1[[#This Row],[Wykryto (szt.)]]</f>
        <v>47.84</v>
      </c>
      <c r="M18" s="30">
        <v>14</v>
      </c>
      <c r="N18" s="32">
        <v>0.2</v>
      </c>
      <c r="O18" s="30">
        <v>0</v>
      </c>
      <c r="P18" s="30">
        <f>IF(Table3[[#This Row],[Przecena  (%)]]&gt;0,Table3[[#This Row],[Wykryto (szt.)]]-Table3[[#This Row],[Pozostało (szt.)]],Table3[[#This Row],[Wykryto (szt.)]]-Table3[[#This Row],[Przeterminowane (szt.)]])</f>
        <v>2</v>
      </c>
      <c r="Q18" s="30">
        <f>IF(Table3[[#This Row],[Przecena  (%)]]&gt;0,Table3[[#This Row],[Pozostało (szt.)]]-Table3[[#This Row],[Przeterminowane (szt.)]],0)</f>
        <v>14</v>
      </c>
      <c r="R18" s="30">
        <f>Table3[[#This Row],[Wykryto (szt.)]]-Table3[[#This Row],[Przeterminowane (szt.)]]</f>
        <v>16</v>
      </c>
      <c r="S18" s="31">
        <f>Table3[[#This Row],[Odzysk z Przecen (zł)]]+Table3[[#This Row],[Odzysk bez Przecen (zł)]]</f>
        <v>39.468000000000004</v>
      </c>
      <c r="T18" s="31">
        <f>Table3[[#This Row],[Cena (zł)]]*Table3[[#This Row],[Uratowane z przeceną (szt.)]]*Table3[[#This Row],[Przecena  (%)]]</f>
        <v>8.3719999999999999</v>
      </c>
      <c r="U18" s="31">
        <f>Table3[[#This Row],[Uratowane z przeceną (szt.)]]*Table3[[#This Row],[Cena (zł)]]*(1-Table3[[#This Row],[Przecena  (%)]])</f>
        <v>33.488</v>
      </c>
      <c r="V18" s="31">
        <f>Table3[[#This Row],[Uratowane bez przeceny (szt.)]] * Table3[[#This Row],[Cena (zł)]]</f>
        <v>5.98</v>
      </c>
      <c r="W18" s="31">
        <f>Table3[[#This Row],[Cena (zł)]]*Table3[[#This Row],[Przeterminowane (szt.)]]</f>
        <v>0</v>
      </c>
      <c r="X18" s="31">
        <f>Table3[[#This Row],[Koszt Przeceny (zł)]]+Table3[[#This Row],[Strata Rzeczywista (zł)]]</f>
        <v>8.3719999999999999</v>
      </c>
      <c r="Y18" s="33" t="s">
        <v>19</v>
      </c>
    </row>
    <row r="19" spans="1:26" x14ac:dyDescent="0.25">
      <c r="A19" s="29" t="s">
        <v>39</v>
      </c>
      <c r="B19" s="29" t="s">
        <v>73</v>
      </c>
      <c r="C19" t="s">
        <v>111</v>
      </c>
      <c r="D19" s="30" t="s">
        <v>15</v>
      </c>
      <c r="E19" s="30" t="s">
        <v>44</v>
      </c>
      <c r="F19" s="30" t="s">
        <v>26</v>
      </c>
      <c r="G19" s="29">
        <v>46234</v>
      </c>
      <c r="H19" s="29" t="str">
        <f t="shared" si="0"/>
        <v>lipiec</v>
      </c>
      <c r="I19" s="30" t="str">
        <f t="shared" si="1"/>
        <v>VII</v>
      </c>
      <c r="J19" s="31">
        <v>3.59</v>
      </c>
      <c r="K19" s="30">
        <v>20</v>
      </c>
      <c r="L19" s="31">
        <f>Table1[[#This Row],[Cena (zł)]]*Table1[[#This Row],[Wykryto (szt.)]]</f>
        <v>71.8</v>
      </c>
      <c r="M19" s="30">
        <v>18</v>
      </c>
      <c r="N19" s="32">
        <v>0.4</v>
      </c>
      <c r="O19" s="30">
        <v>0</v>
      </c>
      <c r="P19" s="30">
        <f>IF(Table3[[#This Row],[Przecena  (%)]]&gt;0,Table3[[#This Row],[Wykryto (szt.)]]-Table3[[#This Row],[Pozostało (szt.)]],Table3[[#This Row],[Wykryto (szt.)]]-Table3[[#This Row],[Przeterminowane (szt.)]])</f>
        <v>2</v>
      </c>
      <c r="Q19" s="30">
        <f>IF(Table3[[#This Row],[Przecena  (%)]]&gt;0,Table3[[#This Row],[Pozostało (szt.)]]-Table3[[#This Row],[Przeterminowane (szt.)]],0)</f>
        <v>18</v>
      </c>
      <c r="R19" s="30">
        <f>Table3[[#This Row],[Wykryto (szt.)]]-Table3[[#This Row],[Przeterminowane (szt.)]]</f>
        <v>20</v>
      </c>
      <c r="S19" s="31">
        <f>Table3[[#This Row],[Odzysk z Przecen (zł)]]+Table3[[#This Row],[Odzysk bez Przecen (zł)]]</f>
        <v>45.951999999999998</v>
      </c>
      <c r="T19" s="31">
        <f>Table3[[#This Row],[Cena (zł)]]*Table3[[#This Row],[Uratowane z przeceną (szt.)]]*Table3[[#This Row],[Przecena  (%)]]</f>
        <v>25.848000000000003</v>
      </c>
      <c r="U19" s="31">
        <f>Table3[[#This Row],[Uratowane z przeceną (szt.)]]*Table3[[#This Row],[Cena (zł)]]*(1-Table3[[#This Row],[Przecena  (%)]])</f>
        <v>38.771999999999998</v>
      </c>
      <c r="V19" s="31">
        <f>Table3[[#This Row],[Uratowane bez przeceny (szt.)]] * Table3[[#This Row],[Cena (zł)]]</f>
        <v>7.18</v>
      </c>
      <c r="W19" s="31">
        <f>Table3[[#This Row],[Cena (zł)]]*Table3[[#This Row],[Przeterminowane (szt.)]]</f>
        <v>0</v>
      </c>
      <c r="X19" s="31">
        <f>Table3[[#This Row],[Koszt Przeceny (zł)]]+Table3[[#This Row],[Strata Rzeczywista (zł)]]</f>
        <v>25.848000000000003</v>
      </c>
      <c r="Y19" s="33" t="s">
        <v>19</v>
      </c>
    </row>
    <row r="20" spans="1:26" x14ac:dyDescent="0.25">
      <c r="A20" s="29" t="s">
        <v>39</v>
      </c>
      <c r="B20" s="29" t="s">
        <v>73</v>
      </c>
      <c r="C20" t="s">
        <v>111</v>
      </c>
      <c r="D20" s="30" t="s">
        <v>15</v>
      </c>
      <c r="E20" s="30" t="s">
        <v>45</v>
      </c>
      <c r="F20" s="30" t="s">
        <v>28</v>
      </c>
      <c r="G20" s="29">
        <v>46234</v>
      </c>
      <c r="H20" s="29" t="str">
        <f t="shared" si="0"/>
        <v>lipiec</v>
      </c>
      <c r="I20" s="30" t="str">
        <f t="shared" si="1"/>
        <v>VII</v>
      </c>
      <c r="J20" s="31">
        <v>3.59</v>
      </c>
      <c r="K20" s="30">
        <v>11</v>
      </c>
      <c r="L20" s="31">
        <f>Table1[[#This Row],[Cena (zł)]]*Table1[[#This Row],[Wykryto (szt.)]]</f>
        <v>39.489999999999995</v>
      </c>
      <c r="M20" s="30">
        <v>6</v>
      </c>
      <c r="N20" s="32">
        <v>0.2</v>
      </c>
      <c r="O20" s="30">
        <v>0</v>
      </c>
      <c r="P20" s="30">
        <f>IF(Table3[[#This Row],[Przecena  (%)]]&gt;0,Table3[[#This Row],[Wykryto (szt.)]]-Table3[[#This Row],[Pozostało (szt.)]],Table3[[#This Row],[Wykryto (szt.)]]-Table3[[#This Row],[Przeterminowane (szt.)]])</f>
        <v>5</v>
      </c>
      <c r="Q20" s="30">
        <f>IF(Table3[[#This Row],[Przecena  (%)]]&gt;0,Table3[[#This Row],[Pozostało (szt.)]]-Table3[[#This Row],[Przeterminowane (szt.)]],0)</f>
        <v>6</v>
      </c>
      <c r="R20" s="30">
        <f>Table3[[#This Row],[Wykryto (szt.)]]-Table3[[#This Row],[Przeterminowane (szt.)]]</f>
        <v>11</v>
      </c>
      <c r="S20" s="31">
        <f>Table3[[#This Row],[Odzysk z Przecen (zł)]]+Table3[[#This Row],[Odzysk bez Przecen (zł)]]</f>
        <v>35.182000000000002</v>
      </c>
      <c r="T20" s="31">
        <f>Table3[[#This Row],[Cena (zł)]]*Table3[[#This Row],[Uratowane z przeceną (szt.)]]*Table3[[#This Row],[Przecena  (%)]]</f>
        <v>4.3079999999999998</v>
      </c>
      <c r="U20" s="31">
        <f>Table3[[#This Row],[Uratowane z przeceną (szt.)]]*Table3[[#This Row],[Cena (zł)]]*(1-Table3[[#This Row],[Przecena  (%)]])</f>
        <v>17.231999999999999</v>
      </c>
      <c r="V20" s="31">
        <f>Table3[[#This Row],[Uratowane bez przeceny (szt.)]] * Table3[[#This Row],[Cena (zł)]]</f>
        <v>17.95</v>
      </c>
      <c r="W20" s="31">
        <f>Table3[[#This Row],[Cena (zł)]]*Table3[[#This Row],[Przeterminowane (szt.)]]</f>
        <v>0</v>
      </c>
      <c r="X20" s="31">
        <f>Table3[[#This Row],[Koszt Przeceny (zł)]]+Table3[[#This Row],[Strata Rzeczywista (zł)]]</f>
        <v>4.3079999999999998</v>
      </c>
      <c r="Y20" s="33" t="s">
        <v>52</v>
      </c>
    </row>
    <row r="21" spans="1:26" x14ac:dyDescent="0.25">
      <c r="A21" s="29" t="s">
        <v>39</v>
      </c>
      <c r="B21" s="29" t="s">
        <v>73</v>
      </c>
      <c r="C21" t="s">
        <v>112</v>
      </c>
      <c r="D21" s="30" t="s">
        <v>15</v>
      </c>
      <c r="E21" s="30" t="s">
        <v>45</v>
      </c>
      <c r="F21" s="30" t="s">
        <v>28</v>
      </c>
      <c r="G21" s="29">
        <v>46234</v>
      </c>
      <c r="H21" s="29" t="str">
        <f t="shared" si="0"/>
        <v>lipiec</v>
      </c>
      <c r="I21" s="30" t="str">
        <f t="shared" si="1"/>
        <v>VII</v>
      </c>
      <c r="J21" s="31">
        <v>3.59</v>
      </c>
      <c r="K21" s="30">
        <v>6</v>
      </c>
      <c r="L21" s="31">
        <f>Table1[[#This Row],[Cena (zł)]]*Table1[[#This Row],[Wykryto (szt.)]]</f>
        <v>21.54</v>
      </c>
      <c r="M21" s="30">
        <v>1</v>
      </c>
      <c r="N21" s="32">
        <v>0</v>
      </c>
      <c r="O21" s="30">
        <v>0</v>
      </c>
      <c r="P21" s="30">
        <f>IF(Table3[[#This Row],[Przecena  (%)]]&gt;0,Table3[[#This Row],[Wykryto (szt.)]]-Table3[[#This Row],[Pozostało (szt.)]],Table3[[#This Row],[Wykryto (szt.)]]-Table3[[#This Row],[Przeterminowane (szt.)]])</f>
        <v>6</v>
      </c>
      <c r="Q21" s="30">
        <f>IF(Table3[[#This Row],[Przecena  (%)]]&gt;0,Table3[[#This Row],[Pozostało (szt.)]]-Table3[[#This Row],[Przeterminowane (szt.)]],0)</f>
        <v>0</v>
      </c>
      <c r="R21" s="30">
        <f>Table3[[#This Row],[Wykryto (szt.)]]-Table3[[#This Row],[Przeterminowane (szt.)]]</f>
        <v>6</v>
      </c>
      <c r="S21" s="31">
        <f>Table3[[#This Row],[Odzysk z Przecen (zł)]]+Table3[[#This Row],[Odzysk bez Przecen (zł)]]</f>
        <v>21.54</v>
      </c>
      <c r="T21" s="31">
        <f>Table3[[#This Row],[Cena (zł)]]*Table3[[#This Row],[Uratowane z przeceną (szt.)]]*Table3[[#This Row],[Przecena  (%)]]</f>
        <v>0</v>
      </c>
      <c r="U21" s="31">
        <f>Table3[[#This Row],[Uratowane z przeceną (szt.)]]*Table3[[#This Row],[Cena (zł)]]*(1-Table3[[#This Row],[Przecena  (%)]])</f>
        <v>0</v>
      </c>
      <c r="V21" s="31">
        <f>Table3[[#This Row],[Uratowane bez przeceny (szt.)]] * Table3[[#This Row],[Cena (zł)]]</f>
        <v>21.54</v>
      </c>
      <c r="W21" s="31">
        <f>Table3[[#This Row],[Cena (zł)]]*Table3[[#This Row],[Przeterminowane (szt.)]]</f>
        <v>0</v>
      </c>
      <c r="X21" s="31">
        <f>Table3[[#This Row],[Koszt Przeceny (zł)]]+Table3[[#This Row],[Strata Rzeczywista (zł)]]</f>
        <v>0</v>
      </c>
      <c r="Y21" s="33" t="s">
        <v>52</v>
      </c>
    </row>
    <row r="22" spans="1:26" x14ac:dyDescent="0.25">
      <c r="A22" s="29" t="s">
        <v>39</v>
      </c>
      <c r="B22" s="29" t="s">
        <v>73</v>
      </c>
      <c r="C22" t="s">
        <v>112</v>
      </c>
      <c r="D22" s="30" t="s">
        <v>15</v>
      </c>
      <c r="E22" s="30" t="s">
        <v>41</v>
      </c>
      <c r="F22" s="30" t="s">
        <v>28</v>
      </c>
      <c r="G22" s="29">
        <v>46234</v>
      </c>
      <c r="H22" s="29" t="str">
        <f t="shared" si="0"/>
        <v>lipiec</v>
      </c>
      <c r="I22" s="30" t="str">
        <f t="shared" si="1"/>
        <v>VII</v>
      </c>
      <c r="J22" s="31">
        <v>3.59</v>
      </c>
      <c r="K22" s="30">
        <v>14</v>
      </c>
      <c r="L22" s="31">
        <f>Table1[[#This Row],[Cena (zł)]]*Table1[[#This Row],[Wykryto (szt.)]]</f>
        <v>50.26</v>
      </c>
      <c r="M22" s="30">
        <v>9</v>
      </c>
      <c r="N22" s="32">
        <v>0.2</v>
      </c>
      <c r="O22" s="30">
        <v>0</v>
      </c>
      <c r="P22" s="30">
        <f>IF(Table3[[#This Row],[Przecena  (%)]]&gt;0,Table3[[#This Row],[Wykryto (szt.)]]-Table3[[#This Row],[Pozostało (szt.)]],Table3[[#This Row],[Wykryto (szt.)]]-Table3[[#This Row],[Przeterminowane (szt.)]])</f>
        <v>5</v>
      </c>
      <c r="Q22" s="30">
        <f>IF(Table3[[#This Row],[Przecena  (%)]]&gt;0,Table3[[#This Row],[Pozostało (szt.)]]-Table3[[#This Row],[Przeterminowane (szt.)]],0)</f>
        <v>9</v>
      </c>
      <c r="R22" s="30">
        <f>Table3[[#This Row],[Wykryto (szt.)]]-Table3[[#This Row],[Przeterminowane (szt.)]]</f>
        <v>14</v>
      </c>
      <c r="S22" s="31">
        <f>Table3[[#This Row],[Odzysk z Przecen (zł)]]+Table3[[#This Row],[Odzysk bez Przecen (zł)]]</f>
        <v>43.798000000000002</v>
      </c>
      <c r="T22" s="31">
        <f>Table3[[#This Row],[Cena (zł)]]*Table3[[#This Row],[Uratowane z przeceną (szt.)]]*Table3[[#This Row],[Przecena  (%)]]</f>
        <v>6.4620000000000006</v>
      </c>
      <c r="U22" s="31">
        <f>Table3[[#This Row],[Uratowane z przeceną (szt.)]]*Table3[[#This Row],[Cena (zł)]]*(1-Table3[[#This Row],[Przecena  (%)]])</f>
        <v>25.848000000000003</v>
      </c>
      <c r="V22" s="31">
        <f>Table3[[#This Row],[Uratowane bez przeceny (szt.)]] * Table3[[#This Row],[Cena (zł)]]</f>
        <v>17.95</v>
      </c>
      <c r="W22" s="31">
        <f>Table3[[#This Row],[Cena (zł)]]*Table3[[#This Row],[Przeterminowane (szt.)]]</f>
        <v>0</v>
      </c>
      <c r="X22" s="31">
        <f>Table3[[#This Row],[Koszt Przeceny (zł)]]+Table3[[#This Row],[Strata Rzeczywista (zł)]]</f>
        <v>6.4620000000000006</v>
      </c>
      <c r="Y22" s="33" t="s">
        <v>71</v>
      </c>
    </row>
    <row r="23" spans="1:26" x14ac:dyDescent="0.25">
      <c r="A23" s="29" t="s">
        <v>39</v>
      </c>
      <c r="B23" s="29" t="s">
        <v>73</v>
      </c>
      <c r="C23" t="s">
        <v>112</v>
      </c>
      <c r="D23" s="30" t="s">
        <v>15</v>
      </c>
      <c r="E23" s="30" t="s">
        <v>40</v>
      </c>
      <c r="F23" s="30" t="s">
        <v>28</v>
      </c>
      <c r="G23" s="29">
        <v>46234</v>
      </c>
      <c r="H23" s="29" t="str">
        <f t="shared" si="0"/>
        <v>lipiec</v>
      </c>
      <c r="I23" s="30" t="str">
        <f t="shared" si="1"/>
        <v>VII</v>
      </c>
      <c r="J23" s="31">
        <v>3.59</v>
      </c>
      <c r="K23" s="30">
        <v>21</v>
      </c>
      <c r="L23" s="31">
        <f>Table1[[#This Row],[Cena (zł)]]*Table1[[#This Row],[Wykryto (szt.)]]</f>
        <v>75.39</v>
      </c>
      <c r="M23" s="30">
        <v>16</v>
      </c>
      <c r="N23" s="32">
        <v>0.2</v>
      </c>
      <c r="O23" s="30">
        <v>0</v>
      </c>
      <c r="P23" s="30">
        <f>IF(Table3[[#This Row],[Przecena  (%)]]&gt;0,Table3[[#This Row],[Wykryto (szt.)]]-Table3[[#This Row],[Pozostało (szt.)]],Table3[[#This Row],[Wykryto (szt.)]]-Table3[[#This Row],[Przeterminowane (szt.)]])</f>
        <v>5</v>
      </c>
      <c r="Q23" s="30">
        <f>IF(Table3[[#This Row],[Przecena  (%)]]&gt;0,Table3[[#This Row],[Pozostało (szt.)]]-Table3[[#This Row],[Przeterminowane (szt.)]],0)</f>
        <v>16</v>
      </c>
      <c r="R23" s="30">
        <f>Table3[[#This Row],[Wykryto (szt.)]]-Table3[[#This Row],[Przeterminowane (szt.)]]</f>
        <v>21</v>
      </c>
      <c r="S23" s="31">
        <f>Table3[[#This Row],[Odzysk z Przecen (zł)]]+Table3[[#This Row],[Odzysk bez Przecen (zł)]]</f>
        <v>63.902000000000001</v>
      </c>
      <c r="T23" s="31">
        <f>Table3[[#This Row],[Cena (zł)]]*Table3[[#This Row],[Uratowane z przeceną (szt.)]]*Table3[[#This Row],[Przecena  (%)]]</f>
        <v>11.488</v>
      </c>
      <c r="U23" s="31">
        <f>Table3[[#This Row],[Uratowane z przeceną (szt.)]]*Table3[[#This Row],[Cena (zł)]]*(1-Table3[[#This Row],[Przecena  (%)]])</f>
        <v>45.951999999999998</v>
      </c>
      <c r="V23" s="31">
        <f>Table3[[#This Row],[Uratowane bez przeceny (szt.)]] * Table3[[#This Row],[Cena (zł)]]</f>
        <v>17.95</v>
      </c>
      <c r="W23" s="31">
        <f>Table3[[#This Row],[Cena (zł)]]*Table3[[#This Row],[Przeterminowane (szt.)]]</f>
        <v>0</v>
      </c>
      <c r="X23" s="31">
        <f>Table3[[#This Row],[Koszt Przeceny (zł)]]+Table3[[#This Row],[Strata Rzeczywista (zł)]]</f>
        <v>11.488</v>
      </c>
      <c r="Y23" s="33" t="s">
        <v>19</v>
      </c>
      <c r="Z23" t="s">
        <v>0</v>
      </c>
    </row>
    <row r="24" spans="1:26" x14ac:dyDescent="0.25">
      <c r="A24" s="29" t="s">
        <v>39</v>
      </c>
      <c r="B24" s="29" t="s">
        <v>73</v>
      </c>
      <c r="C24" t="s">
        <v>112</v>
      </c>
      <c r="D24" s="30" t="s">
        <v>15</v>
      </c>
      <c r="E24" s="30" t="s">
        <v>46</v>
      </c>
      <c r="F24" s="30" t="s">
        <v>25</v>
      </c>
      <c r="G24" s="29">
        <v>46234</v>
      </c>
      <c r="H24" s="29" t="str">
        <f t="shared" si="0"/>
        <v>lipiec</v>
      </c>
      <c r="I24" s="30" t="str">
        <f t="shared" si="1"/>
        <v>VII</v>
      </c>
      <c r="J24" s="31">
        <v>5.99</v>
      </c>
      <c r="K24" s="30">
        <v>6</v>
      </c>
      <c r="L24" s="31">
        <f>Table1[[#This Row],[Cena (zł)]]*Table1[[#This Row],[Wykryto (szt.)]]</f>
        <v>35.94</v>
      </c>
      <c r="M24" s="30">
        <v>5</v>
      </c>
      <c r="N24" s="32">
        <v>0.2</v>
      </c>
      <c r="O24" s="30">
        <v>0</v>
      </c>
      <c r="P24" s="30">
        <f>IF(Table3[[#This Row],[Przecena  (%)]]&gt;0,Table3[[#This Row],[Wykryto (szt.)]]-Table3[[#This Row],[Pozostało (szt.)]],Table3[[#This Row],[Wykryto (szt.)]]-Table3[[#This Row],[Przeterminowane (szt.)]])</f>
        <v>1</v>
      </c>
      <c r="Q24" s="30">
        <f>IF(Table3[[#This Row],[Przecena  (%)]]&gt;0,Table3[[#This Row],[Pozostało (szt.)]]-Table3[[#This Row],[Przeterminowane (szt.)]],0)</f>
        <v>5</v>
      </c>
      <c r="R24" s="30">
        <f>Table3[[#This Row],[Wykryto (szt.)]]-Table3[[#This Row],[Przeterminowane (szt.)]]</f>
        <v>6</v>
      </c>
      <c r="S24" s="31">
        <f>Table3[[#This Row],[Odzysk z Przecen (zł)]]+Table3[[#This Row],[Odzysk bez Przecen (zł)]]</f>
        <v>29.950000000000003</v>
      </c>
      <c r="T24" s="31">
        <f>Table3[[#This Row],[Cena (zł)]]*Table3[[#This Row],[Uratowane z przeceną (szt.)]]*Table3[[#This Row],[Przecena  (%)]]</f>
        <v>5.9900000000000011</v>
      </c>
      <c r="U24" s="31">
        <f>Table3[[#This Row],[Uratowane z przeceną (szt.)]]*Table3[[#This Row],[Cena (zł)]]*(1-Table3[[#This Row],[Przecena  (%)]])</f>
        <v>23.960000000000004</v>
      </c>
      <c r="V24" s="31">
        <f>Table3[[#This Row],[Uratowane bez przeceny (szt.)]] * Table3[[#This Row],[Cena (zł)]]</f>
        <v>5.99</v>
      </c>
      <c r="W24" s="31">
        <f>Table3[[#This Row],[Cena (zł)]]*Table3[[#This Row],[Przeterminowane (szt.)]]</f>
        <v>0</v>
      </c>
      <c r="X24" s="31">
        <f>Table3[[#This Row],[Koszt Przeceny (zł)]]+Table3[[#This Row],[Strata Rzeczywista (zł)]]</f>
        <v>5.9900000000000011</v>
      </c>
      <c r="Y24" s="33" t="s">
        <v>19</v>
      </c>
    </row>
    <row r="25" spans="1:26" x14ac:dyDescent="0.25">
      <c r="A25" s="29" t="s">
        <v>39</v>
      </c>
      <c r="B25" s="29" t="s">
        <v>73</v>
      </c>
      <c r="C25" t="s">
        <v>112</v>
      </c>
      <c r="D25" s="30" t="s">
        <v>15</v>
      </c>
      <c r="E25" s="30" t="s">
        <v>74</v>
      </c>
      <c r="F25" s="30" t="s">
        <v>25</v>
      </c>
      <c r="G25" s="29">
        <v>46234</v>
      </c>
      <c r="H25" s="29" t="str">
        <f t="shared" si="0"/>
        <v>lipiec</v>
      </c>
      <c r="I25" s="30" t="str">
        <f t="shared" si="1"/>
        <v>VII</v>
      </c>
      <c r="J25" s="31">
        <v>2.99</v>
      </c>
      <c r="K25" s="30">
        <v>4</v>
      </c>
      <c r="L25" s="31">
        <f>Table1[[#This Row],[Cena (zł)]]*Table1[[#This Row],[Wykryto (szt.)]]</f>
        <v>11.96</v>
      </c>
      <c r="M25" s="30">
        <v>3</v>
      </c>
      <c r="N25" s="32">
        <v>0.2</v>
      </c>
      <c r="O25" s="30">
        <v>0</v>
      </c>
      <c r="P25" s="30">
        <f>IF(Table3[[#This Row],[Przecena  (%)]]&gt;0,Table3[[#This Row],[Wykryto (szt.)]]-Table3[[#This Row],[Pozostało (szt.)]],Table3[[#This Row],[Wykryto (szt.)]]-Table3[[#This Row],[Przeterminowane (szt.)]])</f>
        <v>1</v>
      </c>
      <c r="Q25" s="30">
        <f>IF(Table3[[#This Row],[Przecena  (%)]]&gt;0,Table3[[#This Row],[Pozostało (szt.)]]-Table3[[#This Row],[Przeterminowane (szt.)]],0)</f>
        <v>3</v>
      </c>
      <c r="R25" s="30">
        <f>Table3[[#This Row],[Wykryto (szt.)]]-Table3[[#This Row],[Przeterminowane (szt.)]]</f>
        <v>4</v>
      </c>
      <c r="S25" s="31">
        <f>Table3[[#This Row],[Odzysk z Przecen (zł)]]+Table3[[#This Row],[Odzysk bez Przecen (zł)]]</f>
        <v>10.166</v>
      </c>
      <c r="T25" s="31">
        <f>Table3[[#This Row],[Cena (zł)]]*Table3[[#This Row],[Uratowane z przeceną (szt.)]]*Table3[[#This Row],[Przecena  (%)]]</f>
        <v>1.7940000000000003</v>
      </c>
      <c r="U25" s="31">
        <f>Table3[[#This Row],[Uratowane z przeceną (szt.)]]*Table3[[#This Row],[Cena (zł)]]*(1-Table3[[#This Row],[Przecena  (%)]])</f>
        <v>7.176000000000001</v>
      </c>
      <c r="V25" s="31">
        <f>Table3[[#This Row],[Uratowane bez przeceny (szt.)]] * Table3[[#This Row],[Cena (zł)]]</f>
        <v>2.99</v>
      </c>
      <c r="W25" s="31">
        <f>Table3[[#This Row],[Cena (zł)]]*Table3[[#This Row],[Przeterminowane (szt.)]]</f>
        <v>0</v>
      </c>
      <c r="X25" s="31">
        <f>Table3[[#This Row],[Koszt Przeceny (zł)]]+Table3[[#This Row],[Strata Rzeczywista (zł)]]</f>
        <v>1.7940000000000003</v>
      </c>
      <c r="Y25" s="33" t="s">
        <v>19</v>
      </c>
    </row>
    <row r="26" spans="1:26" x14ac:dyDescent="0.25">
      <c r="A26" s="29" t="s">
        <v>39</v>
      </c>
      <c r="B26" s="29" t="s">
        <v>73</v>
      </c>
      <c r="C26" t="s">
        <v>112</v>
      </c>
      <c r="D26" s="30" t="s">
        <v>15</v>
      </c>
      <c r="E26" s="30" t="s">
        <v>47</v>
      </c>
      <c r="F26" s="30" t="s">
        <v>48</v>
      </c>
      <c r="G26" s="29">
        <v>46234</v>
      </c>
      <c r="H26" s="29" t="str">
        <f t="shared" si="0"/>
        <v>lipiec</v>
      </c>
      <c r="I26" s="30" t="str">
        <f t="shared" si="1"/>
        <v>VII</v>
      </c>
      <c r="J26" s="31">
        <v>4.79</v>
      </c>
      <c r="K26" s="30">
        <v>20</v>
      </c>
      <c r="L26" s="31">
        <f>Table1[[#This Row],[Cena (zł)]]*Table1[[#This Row],[Wykryto (szt.)]]</f>
        <v>95.8</v>
      </c>
      <c r="M26" s="30">
        <v>20</v>
      </c>
      <c r="N26" s="32">
        <v>0.4</v>
      </c>
      <c r="O26" s="30">
        <v>6</v>
      </c>
      <c r="P26" s="30">
        <f>IF(Table3[[#This Row],[Przecena  (%)]]&gt;0,Table3[[#This Row],[Wykryto (szt.)]]-Table3[[#This Row],[Pozostało (szt.)]],Table3[[#This Row],[Wykryto (szt.)]]-Table3[[#This Row],[Przeterminowane (szt.)]])</f>
        <v>0</v>
      </c>
      <c r="Q26" s="30">
        <f>IF(Table3[[#This Row],[Przecena  (%)]]&gt;0,Table3[[#This Row],[Pozostało (szt.)]]-Table3[[#This Row],[Przeterminowane (szt.)]],0)</f>
        <v>14</v>
      </c>
      <c r="R26" s="30">
        <f>Table3[[#This Row],[Wykryto (szt.)]]-Table3[[#This Row],[Przeterminowane (szt.)]]</f>
        <v>14</v>
      </c>
      <c r="S26" s="31">
        <f>Table3[[#This Row],[Odzysk z Przecen (zł)]]+Table3[[#This Row],[Odzysk bez Przecen (zł)]]</f>
        <v>40.235999999999997</v>
      </c>
      <c r="T26" s="31">
        <f>Table3[[#This Row],[Cena (zł)]]*Table3[[#This Row],[Uratowane z przeceną (szt.)]]*Table3[[#This Row],[Przecena  (%)]]</f>
        <v>26.824000000000002</v>
      </c>
      <c r="U26" s="31">
        <f>Table3[[#This Row],[Uratowane z przeceną (szt.)]]*Table3[[#This Row],[Cena (zł)]]*(1-Table3[[#This Row],[Przecena  (%)]])</f>
        <v>40.235999999999997</v>
      </c>
      <c r="V26" s="31">
        <f>Table3[[#This Row],[Uratowane bez przeceny (szt.)]] * Table3[[#This Row],[Cena (zł)]]</f>
        <v>0</v>
      </c>
      <c r="W26" s="31">
        <f>Table3[[#This Row],[Cena (zł)]]*Table3[[#This Row],[Przeterminowane (szt.)]]</f>
        <v>28.740000000000002</v>
      </c>
      <c r="X26" s="31">
        <f>Table3[[#This Row],[Koszt Przeceny (zł)]]+Table3[[#This Row],[Strata Rzeczywista (zł)]]</f>
        <v>55.564000000000007</v>
      </c>
      <c r="Y26" s="33" t="s">
        <v>19</v>
      </c>
    </row>
    <row r="28" spans="1:26" x14ac:dyDescent="0.25">
      <c r="W28" t="s">
        <v>0</v>
      </c>
    </row>
    <row r="29" spans="1:26" x14ac:dyDescent="0.25">
      <c r="W29" t="s">
        <v>0</v>
      </c>
    </row>
    <row r="31" spans="1:26" x14ac:dyDescent="0.25">
      <c r="L31" t="s">
        <v>0</v>
      </c>
      <c r="Y31" s="7"/>
    </row>
    <row r="40" spans="16:16" x14ac:dyDescent="0.25">
      <c r="P40" t="s">
        <v>0</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A6994926-7778-4E91-A04D-1B71F2C7B2FD}">
          <x14:formula1>
            <xm:f>Słowniki!$A$3:$A$4</xm:f>
          </x14:formula1>
          <xm:sqref>C2:C26</xm:sqref>
        </x14:dataValidation>
        <x14:dataValidation type="list" allowBlank="1" showInputMessage="1" showErrorMessage="1" xr:uid="{04EB4502-D541-44D8-AF7F-C53E21050700}">
          <x14:formula1>
            <xm:f>Słowniki!$D$3:$D$9</xm:f>
          </x14:formula1>
          <xm:sqref>Y2:Y26</xm:sqref>
        </x14:dataValidation>
        <x14:dataValidation type="list" allowBlank="1" showInputMessage="1" showErrorMessage="1" xr:uid="{620B78A3-7060-4725-89D0-FB9D884C0A2D}">
          <x14:formula1>
            <xm:f>Słowniki!$C$3:$C$19</xm:f>
          </x14:formula1>
          <xm:sqref>F2:F26</xm:sqref>
        </x14:dataValidation>
        <x14:dataValidation type="list" allowBlank="1" showInputMessage="1" showErrorMessage="1" xr:uid="{38F3394C-500D-489D-AFDF-CE2616C89C2F}">
          <x14:formula1>
            <xm:f>Słowniki!$B$3:$B$4</xm:f>
          </x14:formula1>
          <xm:sqref>D2:D26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69A0B-9BC7-4441-AD6C-953E4B4418FD}">
  <dimension ref="A2:D20"/>
  <sheetViews>
    <sheetView workbookViewId="0">
      <selection activeCell="A22" sqref="A22"/>
    </sheetView>
  </sheetViews>
  <sheetFormatPr defaultRowHeight="15" x14ac:dyDescent="0.25"/>
  <cols>
    <col min="1" max="1" width="33.42578125" bestFit="1" customWidth="1"/>
    <col min="3" max="3" width="29.85546875" bestFit="1" customWidth="1"/>
    <col min="4" max="4" width="38.5703125" bestFit="1" customWidth="1"/>
  </cols>
  <sheetData>
    <row r="2" spans="1:4" x14ac:dyDescent="0.25">
      <c r="A2" t="s">
        <v>2</v>
      </c>
      <c r="B2" t="s">
        <v>11</v>
      </c>
      <c r="C2" t="s">
        <v>23</v>
      </c>
      <c r="D2" t="s">
        <v>5</v>
      </c>
    </row>
    <row r="3" spans="1:4" x14ac:dyDescent="0.25">
      <c r="A3" t="s">
        <v>111</v>
      </c>
      <c r="B3" t="s">
        <v>15</v>
      </c>
      <c r="C3" t="s">
        <v>24</v>
      </c>
      <c r="D3" t="s">
        <v>19</v>
      </c>
    </row>
    <row r="4" spans="1:4" x14ac:dyDescent="0.25">
      <c r="A4" t="s">
        <v>112</v>
      </c>
      <c r="B4" t="s">
        <v>18</v>
      </c>
      <c r="C4" t="s">
        <v>25</v>
      </c>
      <c r="D4" t="s">
        <v>22</v>
      </c>
    </row>
    <row r="5" spans="1:4" x14ac:dyDescent="0.25">
      <c r="C5" t="s">
        <v>26</v>
      </c>
      <c r="D5" t="s">
        <v>20</v>
      </c>
    </row>
    <row r="6" spans="1:4" x14ac:dyDescent="0.25">
      <c r="C6" t="s">
        <v>27</v>
      </c>
      <c r="D6" t="s">
        <v>21</v>
      </c>
    </row>
    <row r="7" spans="1:4" x14ac:dyDescent="0.25">
      <c r="C7" t="s">
        <v>28</v>
      </c>
      <c r="D7" t="s">
        <v>71</v>
      </c>
    </row>
    <row r="8" spans="1:4" x14ac:dyDescent="0.25">
      <c r="C8" t="s">
        <v>29</v>
      </c>
      <c r="D8" t="s">
        <v>109</v>
      </c>
    </row>
    <row r="9" spans="1:4" x14ac:dyDescent="0.25">
      <c r="C9" t="s">
        <v>30</v>
      </c>
      <c r="D9" t="s">
        <v>52</v>
      </c>
    </row>
    <row r="10" spans="1:4" x14ac:dyDescent="0.25">
      <c r="C10" t="s">
        <v>31</v>
      </c>
    </row>
    <row r="11" spans="1:4" x14ac:dyDescent="0.25">
      <c r="C11" t="s">
        <v>32</v>
      </c>
    </row>
    <row r="12" spans="1:4" x14ac:dyDescent="0.25">
      <c r="C12" t="s">
        <v>33</v>
      </c>
    </row>
    <row r="13" spans="1:4" x14ac:dyDescent="0.25">
      <c r="C13" t="s">
        <v>34</v>
      </c>
    </row>
    <row r="14" spans="1:4" x14ac:dyDescent="0.25">
      <c r="C14" t="s">
        <v>35</v>
      </c>
    </row>
    <row r="15" spans="1:4" x14ac:dyDescent="0.25">
      <c r="C15" t="s">
        <v>36</v>
      </c>
    </row>
    <row r="16" spans="1:4" x14ac:dyDescent="0.25">
      <c r="C16" t="s">
        <v>48</v>
      </c>
    </row>
    <row r="17" spans="3:4" x14ac:dyDescent="0.25">
      <c r="C17" t="s">
        <v>49</v>
      </c>
    </row>
    <row r="18" spans="3:4" x14ac:dyDescent="0.25">
      <c r="C18" t="s">
        <v>50</v>
      </c>
    </row>
    <row r="19" spans="3:4" x14ac:dyDescent="0.25">
      <c r="C19" t="s">
        <v>51</v>
      </c>
    </row>
    <row r="20" spans="3:4" x14ac:dyDescent="0.25">
      <c r="D20" t="s">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93926-FF6A-4119-B80F-472407F5B355}">
  <dimension ref="A4:M166"/>
  <sheetViews>
    <sheetView zoomScale="70" zoomScaleNormal="70" workbookViewId="0">
      <selection activeCell="P27" sqref="P27"/>
    </sheetView>
  </sheetViews>
  <sheetFormatPr defaultRowHeight="15" x14ac:dyDescent="0.25"/>
  <cols>
    <col min="1" max="1" width="17.85546875" bestFit="1" customWidth="1"/>
    <col min="2" max="2" width="23.85546875" bestFit="1" customWidth="1"/>
    <col min="3" max="3" width="35.28515625" bestFit="1" customWidth="1"/>
    <col min="4" max="4" width="39.85546875" bestFit="1" customWidth="1"/>
    <col min="5" max="5" width="13.42578125" bestFit="1" customWidth="1"/>
    <col min="6" max="6" width="14.140625" bestFit="1" customWidth="1"/>
    <col min="7" max="7" width="13.7109375" bestFit="1" customWidth="1"/>
    <col min="8" max="8" width="13.140625" bestFit="1" customWidth="1"/>
    <col min="9" max="9" width="13.7109375" bestFit="1" customWidth="1"/>
    <col min="10" max="10" width="37.7109375" bestFit="1" customWidth="1"/>
    <col min="11" max="11" width="14.140625" bestFit="1" customWidth="1"/>
    <col min="12" max="12" width="19.85546875" bestFit="1" customWidth="1"/>
    <col min="13" max="13" width="52.5703125" bestFit="1" customWidth="1"/>
    <col min="14" max="14" width="13.140625" bestFit="1" customWidth="1"/>
    <col min="15" max="15" width="13.42578125" bestFit="1" customWidth="1"/>
    <col min="16" max="16" width="13.85546875" bestFit="1" customWidth="1"/>
    <col min="17" max="17" width="18.5703125" bestFit="1" customWidth="1"/>
    <col min="18" max="18" width="15.42578125" bestFit="1" customWidth="1"/>
    <col min="19" max="19" width="23.28515625" bestFit="1" customWidth="1"/>
    <col min="20" max="20" width="15.42578125" bestFit="1" customWidth="1"/>
    <col min="21" max="21" width="23.28515625" bestFit="1" customWidth="1"/>
    <col min="22" max="22" width="15" bestFit="1" customWidth="1"/>
    <col min="23" max="23" width="22.42578125" bestFit="1" customWidth="1"/>
    <col min="24" max="24" width="15.140625" bestFit="1" customWidth="1"/>
    <col min="25" max="25" width="22.7109375" bestFit="1" customWidth="1"/>
    <col min="26" max="26" width="14.42578125" bestFit="1" customWidth="1"/>
    <col min="27" max="27" width="22" bestFit="1" customWidth="1"/>
    <col min="28" max="28" width="14.7109375" bestFit="1" customWidth="1"/>
    <col min="29" max="29" width="22.28515625" bestFit="1" customWidth="1"/>
    <col min="30" max="30" width="15.140625" bestFit="1" customWidth="1"/>
    <col min="31" max="31" width="22.7109375" bestFit="1" customWidth="1"/>
    <col min="32" max="32" width="18.5703125" bestFit="1" customWidth="1"/>
    <col min="33" max="33" width="24.28515625" bestFit="1" customWidth="1"/>
  </cols>
  <sheetData>
    <row r="4" spans="1:10" x14ac:dyDescent="0.25">
      <c r="J4" t="s">
        <v>94</v>
      </c>
    </row>
    <row r="5" spans="1:10" x14ac:dyDescent="0.25">
      <c r="A5" s="5" t="s">
        <v>75</v>
      </c>
      <c r="J5" s="13">
        <v>1545.6100000000001</v>
      </c>
    </row>
    <row r="6" spans="1:10" x14ac:dyDescent="0.25">
      <c r="A6" s="6" t="s">
        <v>93</v>
      </c>
      <c r="B6" s="2">
        <v>477.31</v>
      </c>
    </row>
    <row r="7" spans="1:10" x14ac:dyDescent="0.25">
      <c r="A7" s="6" t="s">
        <v>100</v>
      </c>
      <c r="B7" s="2">
        <v>803.32000000000016</v>
      </c>
    </row>
    <row r="10" spans="1:10" x14ac:dyDescent="0.25">
      <c r="J10" t="s">
        <v>95</v>
      </c>
    </row>
    <row r="11" spans="1:10" x14ac:dyDescent="0.25">
      <c r="J11" s="13">
        <v>1280.6300000000001</v>
      </c>
    </row>
    <row r="13" spans="1:10" x14ac:dyDescent="0.25">
      <c r="B13" t="s">
        <v>0</v>
      </c>
    </row>
    <row r="16" spans="1:10" x14ac:dyDescent="0.25">
      <c r="J16" t="s">
        <v>0</v>
      </c>
    </row>
    <row r="17" spans="1:11" x14ac:dyDescent="0.25">
      <c r="J17" s="5" t="s">
        <v>75</v>
      </c>
    </row>
    <row r="18" spans="1:11" x14ac:dyDescent="0.25">
      <c r="A18" s="5" t="s">
        <v>37</v>
      </c>
      <c r="B18" t="s">
        <v>91</v>
      </c>
      <c r="C18" t="s">
        <v>92</v>
      </c>
      <c r="E18" t="s">
        <v>0</v>
      </c>
      <c r="J18" s="6" t="s">
        <v>94</v>
      </c>
      <c r="K18" s="13">
        <v>1545.6100000000001</v>
      </c>
    </row>
    <row r="19" spans="1:11" x14ac:dyDescent="0.25">
      <c r="A19" s="6" t="s">
        <v>83</v>
      </c>
      <c r="B19" s="2">
        <v>329.952</v>
      </c>
      <c r="C19" s="2">
        <v>34.718000000000004</v>
      </c>
      <c r="J19" s="6" t="s">
        <v>95</v>
      </c>
      <c r="K19" s="13">
        <v>1280.6300000000001</v>
      </c>
    </row>
    <row r="20" spans="1:11" x14ac:dyDescent="0.25">
      <c r="A20" s="6" t="s">
        <v>84</v>
      </c>
      <c r="B20" s="2">
        <v>453.13400000000001</v>
      </c>
      <c r="C20" s="2">
        <v>52.356000000000009</v>
      </c>
      <c r="J20" s="3">
        <f>GETPIVOTDATA("Sum of Odzysk Rzeczywisty (zł)",$J$17)/GETPIVOTDATA("Sum of Wartość Zagrożona (zł)",$J$17)</f>
        <v>0.82855959782868904</v>
      </c>
    </row>
    <row r="21" spans="1:11" x14ac:dyDescent="0.25">
      <c r="A21" s="6" t="s">
        <v>85</v>
      </c>
      <c r="B21" s="2">
        <v>206.81799999999998</v>
      </c>
      <c r="C21" s="2">
        <v>66.451999999999998</v>
      </c>
      <c r="H21" t="s">
        <v>0</v>
      </c>
    </row>
    <row r="22" spans="1:11" x14ac:dyDescent="0.25">
      <c r="A22" s="6" t="s">
        <v>86</v>
      </c>
      <c r="B22" s="2">
        <v>290.726</v>
      </c>
      <c r="C22" s="2">
        <v>111.45400000000001</v>
      </c>
    </row>
    <row r="23" spans="1:11" x14ac:dyDescent="0.25">
      <c r="A23" s="6" t="s">
        <v>38</v>
      </c>
      <c r="B23" s="2">
        <v>1280.6300000000001</v>
      </c>
      <c r="C23" s="2">
        <v>264.98</v>
      </c>
    </row>
    <row r="24" spans="1:11" x14ac:dyDescent="0.25">
      <c r="J24" t="s">
        <v>0</v>
      </c>
    </row>
    <row r="25" spans="1:11" x14ac:dyDescent="0.25">
      <c r="J25" t="s">
        <v>81</v>
      </c>
    </row>
    <row r="26" spans="1:11" x14ac:dyDescent="0.25">
      <c r="J26" s="13">
        <v>477.31</v>
      </c>
    </row>
    <row r="33" spans="1:11" x14ac:dyDescent="0.25">
      <c r="I33" t="s">
        <v>0</v>
      </c>
    </row>
    <row r="35" spans="1:11" x14ac:dyDescent="0.25">
      <c r="J35" s="5" t="s">
        <v>75</v>
      </c>
    </row>
    <row r="36" spans="1:11" x14ac:dyDescent="0.25">
      <c r="A36" s="5" t="s">
        <v>37</v>
      </c>
      <c r="B36" t="s">
        <v>81</v>
      </c>
      <c r="J36" s="6" t="s">
        <v>81</v>
      </c>
      <c r="K36" s="13">
        <v>477.31</v>
      </c>
    </row>
    <row r="37" spans="1:11" x14ac:dyDescent="0.25">
      <c r="A37" s="6" t="s">
        <v>83</v>
      </c>
      <c r="B37" s="2">
        <v>100.55200000000001</v>
      </c>
      <c r="J37" s="6" t="s">
        <v>82</v>
      </c>
      <c r="K37" s="13">
        <v>184.97000000000003</v>
      </c>
    </row>
    <row r="38" spans="1:11" x14ac:dyDescent="0.25">
      <c r="A38" s="6" t="s">
        <v>84</v>
      </c>
      <c r="B38" s="2">
        <v>78.533999999999992</v>
      </c>
      <c r="D38" t="s">
        <v>0</v>
      </c>
      <c r="J38" s="3">
        <f>GETPIVOTDATA("Sum of Odzysk z Przecen (zł)",$J$35)/GETPIVOTDATA("Sum of Koszt Przeceny (zł)",$J$35)</f>
        <v>2.5804725090555221</v>
      </c>
    </row>
    <row r="39" spans="1:11" x14ac:dyDescent="0.25">
      <c r="A39" s="6" t="s">
        <v>85</v>
      </c>
      <c r="B39" s="2">
        <v>99.048000000000002</v>
      </c>
    </row>
    <row r="40" spans="1:11" x14ac:dyDescent="0.25">
      <c r="A40" s="6" t="s">
        <v>86</v>
      </c>
      <c r="B40" s="2">
        <v>199.17599999999999</v>
      </c>
    </row>
    <row r="41" spans="1:11" x14ac:dyDescent="0.25">
      <c r="A41" s="6" t="s">
        <v>38</v>
      </c>
      <c r="B41" s="2">
        <v>477.31</v>
      </c>
    </row>
    <row r="44" spans="1:11" x14ac:dyDescent="0.25">
      <c r="J44" s="5" t="s">
        <v>75</v>
      </c>
    </row>
    <row r="45" spans="1:11" x14ac:dyDescent="0.25">
      <c r="J45" s="6" t="s">
        <v>95</v>
      </c>
      <c r="K45" s="13">
        <v>1280.6300000000001</v>
      </c>
    </row>
    <row r="46" spans="1:11" x14ac:dyDescent="0.25">
      <c r="J46" s="6" t="s">
        <v>81</v>
      </c>
      <c r="K46" s="13">
        <v>477.31</v>
      </c>
    </row>
    <row r="47" spans="1:11" x14ac:dyDescent="0.25">
      <c r="J47" s="3">
        <f>GETPIVOTDATA("Sum of Odzysk z Przecen (zł)",$J$44)/GETPIVOTDATA("Sum of Odzysk Rzeczywisty (zł)",$J$44)</f>
        <v>0.37271499183995377</v>
      </c>
    </row>
    <row r="55" spans="1:10" x14ac:dyDescent="0.25">
      <c r="J55" t="s">
        <v>101</v>
      </c>
    </row>
    <row r="56" spans="1:10" x14ac:dyDescent="0.25">
      <c r="A56" s="5" t="s">
        <v>37</v>
      </c>
      <c r="B56" t="s">
        <v>93</v>
      </c>
      <c r="C56" t="s">
        <v>99</v>
      </c>
      <c r="J56" s="13">
        <v>80.010000000000019</v>
      </c>
    </row>
    <row r="57" spans="1:10" x14ac:dyDescent="0.25">
      <c r="A57" s="28">
        <v>0.2</v>
      </c>
      <c r="B57" s="2">
        <v>319.76800000000003</v>
      </c>
      <c r="C57" s="2">
        <v>79.942000000000007</v>
      </c>
    </row>
    <row r="58" spans="1:10" x14ac:dyDescent="0.25">
      <c r="A58" s="28">
        <v>0.4</v>
      </c>
      <c r="B58" s="2">
        <v>157.54199999999997</v>
      </c>
      <c r="C58" s="2">
        <v>105.02800000000001</v>
      </c>
    </row>
    <row r="59" spans="1:10" x14ac:dyDescent="0.25">
      <c r="A59" s="28" t="s">
        <v>38</v>
      </c>
      <c r="B59" s="2">
        <v>477.31</v>
      </c>
      <c r="C59" s="2">
        <v>184.97000000000003</v>
      </c>
    </row>
    <row r="65" spans="1:13" x14ac:dyDescent="0.25">
      <c r="J65" s="5" t="s">
        <v>75</v>
      </c>
    </row>
    <row r="66" spans="1:13" x14ac:dyDescent="0.25">
      <c r="J66" s="6" t="s">
        <v>94</v>
      </c>
      <c r="K66" s="13">
        <v>1545.6100000000001</v>
      </c>
    </row>
    <row r="67" spans="1:13" x14ac:dyDescent="0.25">
      <c r="J67" s="6" t="s">
        <v>101</v>
      </c>
      <c r="K67" s="13">
        <v>80.010000000000019</v>
      </c>
    </row>
    <row r="68" spans="1:13" x14ac:dyDescent="0.25">
      <c r="J68" s="3">
        <f>GETPIVOTDATA("Sum of Strata Rzeczywista (zł)",$J$65)/GETPIVOTDATA("Sum of Wartość Zagrożona (zł)",$J$65)</f>
        <v>5.1765969423075688E-2</v>
      </c>
    </row>
    <row r="69" spans="1:13" x14ac:dyDescent="0.25">
      <c r="M69" t="s">
        <v>0</v>
      </c>
    </row>
    <row r="76" spans="1:13" x14ac:dyDescent="0.25">
      <c r="J76" t="s">
        <v>102</v>
      </c>
    </row>
    <row r="77" spans="1:13" x14ac:dyDescent="0.25">
      <c r="J77" s="36">
        <v>19</v>
      </c>
    </row>
    <row r="78" spans="1:13" x14ac:dyDescent="0.25">
      <c r="A78" s="5" t="s">
        <v>79</v>
      </c>
      <c r="B78" t="s">
        <v>97</v>
      </c>
    </row>
    <row r="79" spans="1:13" x14ac:dyDescent="0.25">
      <c r="A79" s="5" t="s">
        <v>80</v>
      </c>
      <c r="B79" t="s">
        <v>97</v>
      </c>
    </row>
    <row r="81" spans="1:10" x14ac:dyDescent="0.25">
      <c r="A81" s="5" t="s">
        <v>37</v>
      </c>
      <c r="B81" t="s">
        <v>96</v>
      </c>
    </row>
    <row r="82" spans="1:10" x14ac:dyDescent="0.25">
      <c r="A82" s="6" t="s">
        <v>28</v>
      </c>
      <c r="B82" s="27">
        <v>1.3302104439585132</v>
      </c>
      <c r="J82" t="s">
        <v>0</v>
      </c>
    </row>
    <row r="83" spans="1:10" x14ac:dyDescent="0.25">
      <c r="A83" s="6" t="s">
        <v>25</v>
      </c>
      <c r="B83" s="27">
        <v>1.3302104439585132</v>
      </c>
    </row>
    <row r="84" spans="1:10" x14ac:dyDescent="0.25">
      <c r="A84" s="6" t="s">
        <v>24</v>
      </c>
      <c r="B84" s="27">
        <v>1.3302104439585132</v>
      </c>
    </row>
    <row r="85" spans="1:10" x14ac:dyDescent="0.25">
      <c r="A85" s="6" t="s">
        <v>26</v>
      </c>
      <c r="B85" s="27">
        <v>0.96965962817800611</v>
      </c>
    </row>
    <row r="86" spans="1:10" x14ac:dyDescent="0.25">
      <c r="A86" s="6" t="s">
        <v>48</v>
      </c>
      <c r="B86" s="27">
        <v>0.49882891648444233</v>
      </c>
    </row>
    <row r="87" spans="1:10" x14ac:dyDescent="0.25">
      <c r="A87" s="6" t="s">
        <v>38</v>
      </c>
      <c r="B87" s="27">
        <v>1</v>
      </c>
    </row>
    <row r="117" spans="1:2" x14ac:dyDescent="0.25">
      <c r="A117" s="5" t="s">
        <v>37</v>
      </c>
      <c r="B117" t="s">
        <v>101</v>
      </c>
    </row>
    <row r="118" spans="1:2" x14ac:dyDescent="0.25">
      <c r="A118" s="6" t="s">
        <v>48</v>
      </c>
      <c r="B118" s="27">
        <v>0.35920509936257966</v>
      </c>
    </row>
    <row r="119" spans="1:2" x14ac:dyDescent="0.25">
      <c r="A119" s="6" t="s">
        <v>26</v>
      </c>
      <c r="B119" s="27">
        <v>0.25434320709911262</v>
      </c>
    </row>
    <row r="120" spans="1:2" x14ac:dyDescent="0.25">
      <c r="A120" s="6" t="s">
        <v>24</v>
      </c>
      <c r="B120" s="27">
        <v>0.22422197225346832</v>
      </c>
    </row>
    <row r="121" spans="1:2" x14ac:dyDescent="0.25">
      <c r="A121" s="6" t="s">
        <v>25</v>
      </c>
      <c r="B121" s="27">
        <v>0.1622297212848394</v>
      </c>
    </row>
    <row r="122" spans="1:2" x14ac:dyDescent="0.25">
      <c r="A122" s="6" t="s">
        <v>38</v>
      </c>
      <c r="B122" s="27">
        <v>1</v>
      </c>
    </row>
    <row r="142" spans="1:2" x14ac:dyDescent="0.25">
      <c r="A142" s="5" t="s">
        <v>37</v>
      </c>
      <c r="B142" t="s">
        <v>101</v>
      </c>
    </row>
    <row r="143" spans="1:2" x14ac:dyDescent="0.25">
      <c r="A143" s="6" t="s">
        <v>19</v>
      </c>
      <c r="B143" s="2">
        <v>57.45</v>
      </c>
    </row>
    <row r="144" spans="1:2" x14ac:dyDescent="0.25">
      <c r="A144" s="6" t="s">
        <v>109</v>
      </c>
      <c r="B144" s="2">
        <v>22.560000000000002</v>
      </c>
    </row>
    <row r="145" spans="1:3" x14ac:dyDescent="0.25">
      <c r="A145" s="6" t="s">
        <v>38</v>
      </c>
      <c r="B145" s="2">
        <v>80.010000000000005</v>
      </c>
    </row>
    <row r="159" spans="1:3" x14ac:dyDescent="0.25">
      <c r="C159" t="s">
        <v>0</v>
      </c>
    </row>
    <row r="161" spans="1:2" x14ac:dyDescent="0.25">
      <c r="A161" s="5" t="s">
        <v>37</v>
      </c>
      <c r="B161" t="s">
        <v>101</v>
      </c>
    </row>
    <row r="162" spans="1:2" x14ac:dyDescent="0.25">
      <c r="A162" s="6" t="s">
        <v>83</v>
      </c>
      <c r="B162" s="2">
        <v>9.58</v>
      </c>
    </row>
    <row r="163" spans="1:2" x14ac:dyDescent="0.25">
      <c r="A163" s="6" t="s">
        <v>84</v>
      </c>
      <c r="B163" s="2">
        <v>0</v>
      </c>
    </row>
    <row r="164" spans="1:2" x14ac:dyDescent="0.25">
      <c r="A164" s="6" t="s">
        <v>85</v>
      </c>
      <c r="B164" s="2">
        <v>41.69</v>
      </c>
    </row>
    <row r="165" spans="1:2" x14ac:dyDescent="0.25">
      <c r="A165" s="6" t="s">
        <v>86</v>
      </c>
      <c r="B165" s="2">
        <v>28.740000000000002</v>
      </c>
    </row>
    <row r="166" spans="1:2" x14ac:dyDescent="0.25">
      <c r="A166" s="6" t="s">
        <v>38</v>
      </c>
      <c r="B166" s="2">
        <v>80.009999999999991</v>
      </c>
    </row>
  </sheetData>
  <pageMargins left="0.7" right="0.7" top="0.75" bottom="0.75" header="0.3" footer="0.3"/>
  <drawing r:id="rId18"/>
  <extLst>
    <ext xmlns:x14="http://schemas.microsoft.com/office/spreadsheetml/2009/9/main" uri="{A8765BA9-456A-4dab-B4F3-ACF838C121DE}">
      <x14:slicerList>
        <x14:slicer r:id="rId1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E8F15-CD8A-4198-8D1B-4F6A49589F91}">
  <dimension ref="A1:T30"/>
  <sheetViews>
    <sheetView showGridLines="0" topLeftCell="A3" zoomScale="98" zoomScaleNormal="98" workbookViewId="0">
      <selection activeCell="T12" sqref="T12"/>
    </sheetView>
  </sheetViews>
  <sheetFormatPr defaultRowHeight="15" x14ac:dyDescent="0.25"/>
  <cols>
    <col min="1" max="17" width="10.7109375" customWidth="1"/>
    <col min="18" max="26" width="12.7109375" customWidth="1"/>
  </cols>
  <sheetData>
    <row r="1" spans="1:20" ht="20.100000000000001" customHeight="1" x14ac:dyDescent="0.25">
      <c r="A1" s="24"/>
      <c r="B1" s="24"/>
      <c r="C1" s="24"/>
      <c r="D1" s="34" t="s">
        <v>110</v>
      </c>
      <c r="E1" s="34"/>
      <c r="F1" s="34"/>
      <c r="G1" s="34"/>
      <c r="H1" s="34"/>
      <c r="I1" s="34"/>
      <c r="J1" s="34"/>
      <c r="K1" s="34"/>
      <c r="L1" s="34"/>
      <c r="M1" s="34"/>
      <c r="N1" s="34"/>
      <c r="O1" s="34"/>
      <c r="P1" s="34"/>
      <c r="Q1" s="34"/>
    </row>
    <row r="2" spans="1:20" ht="20.100000000000001" customHeight="1" x14ac:dyDescent="0.25">
      <c r="A2" s="24"/>
      <c r="B2" s="24"/>
      <c r="C2" s="24"/>
      <c r="D2" s="34"/>
      <c r="E2" s="34"/>
      <c r="F2" s="34"/>
      <c r="G2" s="34"/>
      <c r="H2" s="34"/>
      <c r="I2" s="34"/>
      <c r="J2" s="34"/>
      <c r="K2" s="34"/>
      <c r="L2" s="34"/>
      <c r="M2" s="34"/>
      <c r="N2" s="34"/>
      <c r="O2" s="34"/>
      <c r="P2" s="34"/>
      <c r="Q2" s="34"/>
    </row>
    <row r="3" spans="1:20" ht="20.100000000000001" customHeight="1" x14ac:dyDescent="0.25">
      <c r="A3" s="24"/>
      <c r="B3" s="24"/>
      <c r="C3" s="24"/>
      <c r="D3" s="19"/>
      <c r="E3" s="19"/>
      <c r="F3" s="19"/>
      <c r="G3" s="19"/>
      <c r="H3" s="19"/>
      <c r="I3" s="34"/>
      <c r="J3" s="34"/>
      <c r="K3" s="34"/>
      <c r="L3" s="19"/>
      <c r="M3" s="34"/>
      <c r="N3" s="34"/>
      <c r="O3" s="34"/>
      <c r="P3" s="19"/>
      <c r="Q3" s="19"/>
      <c r="S3" t="s">
        <v>0</v>
      </c>
    </row>
    <row r="4" spans="1:20" ht="20.100000000000001" customHeight="1" x14ac:dyDescent="0.25">
      <c r="A4" s="25"/>
      <c r="B4" s="35"/>
      <c r="C4" s="35"/>
      <c r="D4" s="22"/>
      <c r="E4" s="23"/>
      <c r="F4" s="23"/>
      <c r="G4" s="23"/>
      <c r="H4" s="14"/>
      <c r="I4" s="23"/>
      <c r="J4" s="23"/>
      <c r="K4" s="23"/>
      <c r="L4" s="14"/>
      <c r="M4" s="23"/>
      <c r="N4" s="23"/>
      <c r="O4" s="23"/>
      <c r="P4" s="14"/>
      <c r="Q4" s="14"/>
    </row>
    <row r="5" spans="1:20" ht="20.100000000000001" customHeight="1" x14ac:dyDescent="0.25">
      <c r="A5" s="25"/>
      <c r="B5" s="35"/>
      <c r="C5" s="35"/>
      <c r="D5" s="22"/>
      <c r="E5" s="22"/>
      <c r="F5" s="14"/>
      <c r="G5" s="14"/>
      <c r="H5" s="15"/>
      <c r="I5" s="14"/>
      <c r="J5" s="16"/>
      <c r="K5" s="14"/>
      <c r="L5" s="14"/>
      <c r="M5" s="14"/>
      <c r="N5" s="14"/>
      <c r="O5" s="14"/>
      <c r="P5" s="14"/>
      <c r="Q5" s="14"/>
    </row>
    <row r="6" spans="1:20" ht="20.100000000000001" customHeight="1" x14ac:dyDescent="0.25">
      <c r="A6" s="25"/>
      <c r="B6" s="26"/>
      <c r="C6" s="25"/>
      <c r="D6" s="17"/>
      <c r="E6" s="14"/>
      <c r="F6" s="15"/>
      <c r="G6" s="14"/>
      <c r="H6" s="15"/>
      <c r="I6" s="14"/>
      <c r="J6" s="16"/>
      <c r="K6" s="14"/>
      <c r="L6" s="14"/>
      <c r="M6" s="14"/>
      <c r="N6" s="14"/>
      <c r="O6" s="14"/>
      <c r="P6" s="14"/>
      <c r="Q6" s="14"/>
    </row>
    <row r="7" spans="1:20" ht="20.100000000000001" customHeight="1" x14ac:dyDescent="0.25">
      <c r="A7" s="25"/>
      <c r="B7" s="25"/>
      <c r="C7" s="25"/>
      <c r="D7" s="14"/>
      <c r="E7" s="14"/>
      <c r="F7" s="14"/>
      <c r="G7" s="14"/>
      <c r="H7" s="14"/>
      <c r="I7" s="14"/>
      <c r="J7" s="14"/>
      <c r="K7" s="14"/>
      <c r="L7" s="14"/>
      <c r="M7" s="14"/>
      <c r="N7" s="14"/>
      <c r="O7" s="14"/>
      <c r="P7" s="14"/>
      <c r="Q7" s="14"/>
      <c r="T7" s="20"/>
    </row>
    <row r="8" spans="1:20" ht="20.100000000000001" customHeight="1" x14ac:dyDescent="0.25">
      <c r="A8" s="25"/>
      <c r="B8" s="25"/>
      <c r="C8" s="25"/>
      <c r="D8" s="14"/>
      <c r="E8" s="14"/>
      <c r="F8" s="14"/>
      <c r="G8" s="14"/>
      <c r="H8" s="14"/>
      <c r="I8" s="14"/>
      <c r="J8" s="14"/>
      <c r="K8" s="14"/>
      <c r="L8" s="14"/>
      <c r="M8" s="14"/>
      <c r="N8" s="14"/>
      <c r="O8" s="14"/>
      <c r="P8" s="14"/>
      <c r="Q8" s="14"/>
      <c r="T8" s="21"/>
    </row>
    <row r="9" spans="1:20" ht="20.100000000000001" customHeight="1" x14ac:dyDescent="0.25">
      <c r="A9" s="25"/>
      <c r="B9" s="25"/>
      <c r="C9" s="25"/>
      <c r="D9" s="14"/>
      <c r="E9" s="23"/>
      <c r="F9" s="23"/>
      <c r="G9" s="23"/>
      <c r="H9" s="14"/>
      <c r="I9" s="23"/>
      <c r="J9" s="23"/>
      <c r="K9" s="23"/>
      <c r="L9" s="14"/>
      <c r="M9" s="23"/>
      <c r="N9" s="23"/>
      <c r="O9" s="23"/>
      <c r="P9" s="14"/>
      <c r="Q9" s="14"/>
      <c r="T9" s="21"/>
    </row>
    <row r="10" spans="1:20" ht="20.100000000000001" customHeight="1" x14ac:dyDescent="0.25">
      <c r="A10" s="25"/>
      <c r="B10" s="25"/>
      <c r="C10" s="25"/>
      <c r="D10" s="14"/>
      <c r="E10" s="14"/>
      <c r="F10" s="14"/>
      <c r="G10" s="14"/>
      <c r="H10" s="14"/>
      <c r="I10" s="14"/>
      <c r="J10" s="18"/>
      <c r="K10" s="14"/>
      <c r="L10" s="14"/>
      <c r="M10" s="14"/>
      <c r="N10" s="14"/>
      <c r="O10" s="14"/>
      <c r="P10" s="14"/>
      <c r="Q10" s="14"/>
      <c r="T10" s="21"/>
    </row>
    <row r="11" spans="1:20" ht="20.100000000000001" customHeight="1" x14ac:dyDescent="0.25">
      <c r="A11" s="25"/>
      <c r="B11" s="25"/>
      <c r="C11" s="25"/>
      <c r="D11" s="14"/>
      <c r="E11" s="14"/>
      <c r="F11" s="14"/>
      <c r="G11" s="14"/>
      <c r="H11" s="14"/>
      <c r="I11" s="14"/>
      <c r="J11" s="14"/>
      <c r="K11" s="14"/>
      <c r="L11" s="14"/>
      <c r="M11" s="14"/>
      <c r="N11" s="14"/>
      <c r="O11" s="14"/>
      <c r="P11" s="14"/>
      <c r="Q11" s="14"/>
      <c r="T11" s="21"/>
    </row>
    <row r="12" spans="1:20" ht="20.100000000000001" customHeight="1" x14ac:dyDescent="0.25">
      <c r="A12" s="25"/>
      <c r="B12" s="25"/>
      <c r="C12" s="25"/>
      <c r="D12" s="14"/>
      <c r="E12" s="14"/>
      <c r="F12" s="14"/>
      <c r="G12" s="14"/>
      <c r="H12" s="14"/>
      <c r="I12" s="14"/>
      <c r="J12" s="14"/>
      <c r="K12" s="14"/>
      <c r="L12" s="14"/>
      <c r="M12" s="14"/>
      <c r="N12" s="14"/>
      <c r="O12" s="14"/>
      <c r="P12" s="14"/>
      <c r="Q12" s="14"/>
      <c r="T12" s="21"/>
    </row>
    <row r="13" spans="1:20" ht="20.100000000000001" customHeight="1" x14ac:dyDescent="0.25">
      <c r="A13" s="25"/>
      <c r="B13" s="25"/>
      <c r="C13" s="25"/>
      <c r="D13" s="14"/>
      <c r="E13" s="14"/>
      <c r="F13" s="14"/>
      <c r="G13" s="14"/>
      <c r="H13" s="14"/>
      <c r="I13" s="14"/>
      <c r="J13" s="14"/>
      <c r="K13" s="14"/>
      <c r="L13" s="14"/>
      <c r="M13" s="14"/>
      <c r="N13" s="14"/>
      <c r="O13" s="14"/>
      <c r="P13" s="14"/>
      <c r="Q13" s="14"/>
    </row>
    <row r="14" spans="1:20" ht="20.100000000000001" customHeight="1" x14ac:dyDescent="0.25">
      <c r="A14" s="25"/>
      <c r="B14" s="25"/>
      <c r="C14" s="25"/>
      <c r="D14" s="14"/>
      <c r="E14" s="14"/>
      <c r="F14" s="14"/>
      <c r="G14" s="14"/>
      <c r="H14" s="14"/>
      <c r="I14" s="14"/>
      <c r="J14" s="14"/>
      <c r="K14" s="14"/>
      <c r="L14" s="14"/>
      <c r="M14" s="14"/>
      <c r="N14" s="14"/>
      <c r="O14" s="14"/>
      <c r="P14" s="14"/>
      <c r="Q14" s="14"/>
    </row>
    <row r="15" spans="1:20" ht="20.100000000000001" customHeight="1" x14ac:dyDescent="0.25">
      <c r="A15" s="25"/>
      <c r="B15" s="25"/>
      <c r="C15" s="25"/>
      <c r="D15" s="14"/>
      <c r="E15" s="14"/>
      <c r="F15" s="14"/>
      <c r="G15" s="14"/>
      <c r="H15" s="14"/>
      <c r="I15" s="14"/>
      <c r="J15" s="14"/>
      <c r="K15" s="14"/>
      <c r="L15" s="14"/>
      <c r="M15" s="14"/>
      <c r="N15" s="14"/>
      <c r="O15" s="14"/>
      <c r="P15" s="14"/>
      <c r="Q15" s="14"/>
    </row>
    <row r="16" spans="1:20" ht="20.100000000000001" customHeight="1" x14ac:dyDescent="0.25">
      <c r="A16" s="25"/>
      <c r="B16" s="25"/>
      <c r="C16" s="25"/>
      <c r="D16" s="14"/>
      <c r="E16" s="14"/>
      <c r="F16" s="14"/>
      <c r="G16" s="14"/>
      <c r="H16" s="14"/>
      <c r="I16" s="14"/>
      <c r="J16" s="14"/>
      <c r="K16" s="14"/>
      <c r="L16" s="14"/>
      <c r="M16" s="14"/>
      <c r="N16" s="14"/>
      <c r="O16" s="14"/>
      <c r="P16" s="14"/>
      <c r="Q16" s="14"/>
    </row>
    <row r="17" spans="1:17" ht="20.100000000000001" customHeight="1" x14ac:dyDescent="0.25">
      <c r="A17" s="25"/>
      <c r="B17" s="25"/>
      <c r="C17" s="25"/>
      <c r="D17" s="14"/>
      <c r="E17" s="14"/>
      <c r="F17" s="14"/>
      <c r="G17" s="14"/>
      <c r="H17" s="14"/>
      <c r="I17" s="14"/>
      <c r="J17" s="14"/>
      <c r="K17" s="14"/>
      <c r="L17" s="14"/>
      <c r="M17" s="14"/>
      <c r="N17" s="14"/>
      <c r="O17" s="14"/>
      <c r="P17" s="14"/>
      <c r="Q17" s="14"/>
    </row>
    <row r="18" spans="1:17" ht="20.100000000000001" customHeight="1" x14ac:dyDescent="0.25">
      <c r="A18" s="25"/>
      <c r="B18" s="25"/>
      <c r="C18" s="25"/>
      <c r="D18" s="14"/>
      <c r="E18" s="14"/>
      <c r="F18" s="14"/>
      <c r="G18" s="14"/>
      <c r="H18" s="14"/>
      <c r="I18" s="14"/>
      <c r="J18" s="14"/>
      <c r="K18" s="14"/>
      <c r="L18" s="14"/>
      <c r="M18" s="14"/>
      <c r="N18" s="14"/>
      <c r="O18" s="14"/>
      <c r="P18" s="14"/>
      <c r="Q18" s="14"/>
    </row>
    <row r="19" spans="1:17" ht="20.100000000000001" customHeight="1" x14ac:dyDescent="0.25">
      <c r="A19" s="25"/>
      <c r="B19" s="25"/>
      <c r="C19" s="25"/>
      <c r="D19" s="14"/>
      <c r="E19" s="14"/>
      <c r="F19" s="14"/>
      <c r="G19" s="14"/>
      <c r="H19" s="14"/>
      <c r="I19" s="14"/>
      <c r="J19" s="14"/>
      <c r="K19" s="14"/>
      <c r="L19" s="14"/>
      <c r="M19" s="14"/>
      <c r="N19" s="14"/>
      <c r="O19" s="14"/>
      <c r="P19" s="14"/>
      <c r="Q19" s="14"/>
    </row>
    <row r="20" spans="1:17" ht="20.100000000000001" customHeight="1" x14ac:dyDescent="0.25">
      <c r="A20" s="25"/>
      <c r="B20" s="25"/>
      <c r="C20" s="25"/>
      <c r="D20" s="14"/>
      <c r="E20" s="14"/>
      <c r="F20" s="14"/>
      <c r="G20" s="14"/>
      <c r="H20" s="14"/>
      <c r="I20" s="14"/>
      <c r="J20" s="14"/>
      <c r="K20" s="14"/>
      <c r="L20" s="14"/>
      <c r="M20" s="14"/>
      <c r="N20" s="14"/>
      <c r="O20" s="14"/>
      <c r="P20" s="14"/>
      <c r="Q20" s="14"/>
    </row>
    <row r="21" spans="1:17" ht="20.100000000000001" customHeight="1" x14ac:dyDescent="0.25">
      <c r="A21" s="25"/>
      <c r="B21" s="25"/>
      <c r="C21" s="25"/>
      <c r="D21" s="14"/>
      <c r="E21" s="14"/>
      <c r="F21" s="14"/>
      <c r="G21" s="14"/>
      <c r="H21" s="14"/>
      <c r="I21" s="14"/>
      <c r="J21" s="14"/>
      <c r="K21" s="14"/>
      <c r="L21" s="14"/>
      <c r="M21" s="14"/>
      <c r="N21" s="14"/>
      <c r="O21" s="14"/>
      <c r="P21" s="14"/>
      <c r="Q21" s="14"/>
    </row>
    <row r="22" spans="1:17" ht="20.100000000000001" customHeight="1" x14ac:dyDescent="0.25">
      <c r="A22" s="25"/>
      <c r="B22" s="25"/>
      <c r="C22" s="25"/>
      <c r="D22" s="14"/>
      <c r="E22" s="14"/>
      <c r="F22" s="14"/>
      <c r="G22" s="14"/>
      <c r="H22" s="14"/>
      <c r="I22" s="14"/>
      <c r="J22" s="14"/>
      <c r="K22" s="14"/>
      <c r="L22" s="14"/>
      <c r="M22" s="14"/>
      <c r="N22" s="14"/>
      <c r="O22" s="14"/>
      <c r="P22" s="14"/>
      <c r="Q22" s="14"/>
    </row>
    <row r="23" spans="1:17" ht="20.100000000000001" customHeight="1" x14ac:dyDescent="0.25">
      <c r="A23" s="25"/>
      <c r="B23" s="25"/>
      <c r="C23" s="25"/>
      <c r="D23" s="14"/>
      <c r="E23" s="14"/>
      <c r="F23" s="14"/>
      <c r="G23" s="14"/>
      <c r="H23" s="14"/>
      <c r="I23" s="14"/>
      <c r="J23" s="14"/>
      <c r="K23" s="14"/>
      <c r="L23" s="14"/>
      <c r="M23" s="14"/>
      <c r="N23" s="14"/>
      <c r="O23" s="14"/>
      <c r="P23" s="14"/>
      <c r="Q23" s="14"/>
    </row>
    <row r="24" spans="1:17" ht="20.100000000000001" customHeight="1" x14ac:dyDescent="0.25">
      <c r="A24" s="25"/>
      <c r="B24" s="25"/>
      <c r="C24" s="25"/>
      <c r="D24" s="14"/>
      <c r="E24" s="14"/>
      <c r="F24" s="14"/>
      <c r="G24" s="14"/>
      <c r="H24" s="14"/>
      <c r="I24" s="14"/>
      <c r="J24" s="14"/>
      <c r="K24" s="14"/>
      <c r="L24" s="14"/>
      <c r="M24" s="14"/>
      <c r="N24" s="14"/>
      <c r="O24" s="14"/>
      <c r="P24" s="14"/>
      <c r="Q24" s="14"/>
    </row>
    <row r="25" spans="1:17" ht="20.100000000000001" customHeight="1" x14ac:dyDescent="0.25">
      <c r="A25" s="25"/>
      <c r="B25" s="25"/>
      <c r="C25" s="25"/>
      <c r="D25" s="14"/>
      <c r="E25" s="14"/>
      <c r="F25" s="14"/>
      <c r="G25" s="14"/>
      <c r="H25" s="14"/>
      <c r="I25" s="14"/>
      <c r="J25" s="14"/>
      <c r="K25" s="14"/>
      <c r="L25" s="14"/>
      <c r="M25" s="14"/>
      <c r="N25" s="14"/>
      <c r="O25" s="14"/>
      <c r="P25" s="14"/>
      <c r="Q25" s="14"/>
    </row>
    <row r="26" spans="1:17" ht="20.100000000000001" customHeight="1" x14ac:dyDescent="0.25">
      <c r="A26" s="25"/>
      <c r="B26" s="25"/>
      <c r="C26" s="25"/>
      <c r="D26" s="14"/>
      <c r="E26" s="14"/>
      <c r="F26" s="14"/>
      <c r="G26" s="14"/>
      <c r="H26" s="14"/>
      <c r="I26" s="14"/>
      <c r="J26" s="14"/>
      <c r="K26" s="14"/>
      <c r="L26" s="14"/>
      <c r="M26" s="14"/>
      <c r="N26" s="14"/>
      <c r="O26" s="14"/>
      <c r="P26" s="14"/>
      <c r="Q26" s="14"/>
    </row>
    <row r="27" spans="1:17" ht="20.100000000000001" customHeight="1" x14ac:dyDescent="0.25">
      <c r="A27" s="25"/>
      <c r="B27" s="25"/>
      <c r="C27" s="25"/>
      <c r="D27" s="14"/>
      <c r="E27" s="14"/>
      <c r="F27" s="14"/>
      <c r="G27" s="14"/>
      <c r="H27" s="14"/>
      <c r="I27" s="14"/>
      <c r="J27" s="14"/>
      <c r="K27" s="14"/>
      <c r="L27" s="14"/>
      <c r="M27" s="14"/>
      <c r="N27" s="14"/>
      <c r="O27" s="14"/>
      <c r="P27" s="14"/>
      <c r="Q27" s="14"/>
    </row>
    <row r="28" spans="1:17" ht="20.100000000000001" customHeight="1" x14ac:dyDescent="0.25">
      <c r="A28" s="25"/>
      <c r="B28" s="25"/>
      <c r="C28" s="25"/>
      <c r="D28" s="14"/>
      <c r="E28" s="14"/>
      <c r="F28" s="14"/>
      <c r="G28" s="14"/>
      <c r="H28" s="14"/>
      <c r="I28" s="14"/>
      <c r="J28" s="14"/>
      <c r="K28" s="14"/>
      <c r="L28" s="14"/>
      <c r="M28" s="14"/>
      <c r="N28" s="14"/>
      <c r="O28" s="14"/>
      <c r="P28" s="14"/>
      <c r="Q28" s="14"/>
    </row>
    <row r="29" spans="1:17" ht="12" customHeight="1" x14ac:dyDescent="0.25"/>
    <row r="30" spans="1:17" ht="12" customHeight="1" x14ac:dyDescent="0.25"/>
  </sheetData>
  <mergeCells count="4">
    <mergeCell ref="I3:K3"/>
    <mergeCell ref="M3:O3"/>
    <mergeCell ref="D1:Q2"/>
    <mergeCell ref="B4:C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CBD4C-2BBD-465C-B523-7980A7BA3693}">
  <dimension ref="A1:T30"/>
  <sheetViews>
    <sheetView showGridLines="0" zoomScale="98" zoomScaleNormal="98" workbookViewId="0">
      <selection activeCell="U12" sqref="U12"/>
    </sheetView>
  </sheetViews>
  <sheetFormatPr defaultRowHeight="15" x14ac:dyDescent="0.25"/>
  <cols>
    <col min="1" max="17" width="10.7109375" customWidth="1"/>
    <col min="18" max="26" width="12.7109375" customWidth="1"/>
  </cols>
  <sheetData>
    <row r="1" spans="1:20" ht="20.100000000000001" customHeight="1" x14ac:dyDescent="0.25">
      <c r="A1" s="24"/>
      <c r="B1" s="24"/>
      <c r="C1" s="24"/>
      <c r="D1" s="34" t="s">
        <v>110</v>
      </c>
      <c r="E1" s="34"/>
      <c r="F1" s="34"/>
      <c r="G1" s="34"/>
      <c r="H1" s="34"/>
      <c r="I1" s="34"/>
      <c r="J1" s="34"/>
      <c r="K1" s="34"/>
      <c r="L1" s="34"/>
      <c r="M1" s="34"/>
      <c r="N1" s="34"/>
      <c r="O1" s="34"/>
      <c r="P1" s="34"/>
      <c r="Q1" s="34"/>
    </row>
    <row r="2" spans="1:20" ht="20.100000000000001" customHeight="1" x14ac:dyDescent="0.25">
      <c r="A2" s="24"/>
      <c r="B2" s="24"/>
      <c r="C2" s="24"/>
      <c r="D2" s="34"/>
      <c r="E2" s="34"/>
      <c r="F2" s="34"/>
      <c r="G2" s="34"/>
      <c r="H2" s="34"/>
      <c r="I2" s="34"/>
      <c r="J2" s="34"/>
      <c r="K2" s="34"/>
      <c r="L2" s="34"/>
      <c r="M2" s="34"/>
      <c r="N2" s="34"/>
      <c r="O2" s="34"/>
      <c r="P2" s="34"/>
      <c r="Q2" s="34"/>
    </row>
    <row r="3" spans="1:20" ht="20.100000000000001" customHeight="1" x14ac:dyDescent="0.25">
      <c r="A3" s="24"/>
      <c r="B3" s="24"/>
      <c r="C3" s="24"/>
      <c r="D3" s="19"/>
      <c r="E3" s="19"/>
      <c r="F3" s="19"/>
      <c r="G3" s="19"/>
      <c r="H3" s="19"/>
      <c r="I3" s="34"/>
      <c r="J3" s="34"/>
      <c r="K3" s="34"/>
      <c r="L3" s="19"/>
      <c r="M3" s="34"/>
      <c r="N3" s="34"/>
      <c r="O3" s="34"/>
      <c r="P3" s="19"/>
      <c r="Q3" s="19"/>
      <c r="S3" t="s">
        <v>0</v>
      </c>
    </row>
    <row r="4" spans="1:20" ht="20.100000000000001" customHeight="1" x14ac:dyDescent="0.25">
      <c r="A4" s="25"/>
      <c r="B4" s="35"/>
      <c r="C4" s="35"/>
      <c r="D4" s="22"/>
      <c r="E4" s="23"/>
      <c r="F4" s="23"/>
      <c r="G4" s="23"/>
      <c r="H4" s="14"/>
      <c r="I4" s="23"/>
      <c r="J4" s="23"/>
      <c r="K4" s="23"/>
      <c r="L4" s="14"/>
      <c r="M4" s="23"/>
      <c r="N4" s="23"/>
      <c r="O4" s="23"/>
      <c r="P4" s="14"/>
      <c r="Q4" s="14"/>
    </row>
    <row r="5" spans="1:20" ht="20.100000000000001" customHeight="1" x14ac:dyDescent="0.25">
      <c r="A5" s="25"/>
      <c r="B5" s="35"/>
      <c r="C5" s="35"/>
      <c r="D5" s="22"/>
      <c r="E5" s="22"/>
      <c r="F5" s="14"/>
      <c r="G5" s="14"/>
      <c r="H5" s="15"/>
      <c r="I5" s="14"/>
      <c r="J5" s="16"/>
      <c r="K5" s="14"/>
      <c r="L5" s="14"/>
      <c r="M5" s="14"/>
      <c r="N5" s="14"/>
      <c r="O5" s="14"/>
      <c r="P5" s="14"/>
      <c r="Q5" s="14"/>
    </row>
    <row r="6" spans="1:20" ht="20.100000000000001" customHeight="1" x14ac:dyDescent="0.25">
      <c r="A6" s="25"/>
      <c r="B6" s="26"/>
      <c r="C6" s="25"/>
      <c r="D6" s="17"/>
      <c r="E6" s="14"/>
      <c r="F6" s="15"/>
      <c r="G6" s="14"/>
      <c r="H6" s="15"/>
      <c r="I6" s="14"/>
      <c r="J6" s="16"/>
      <c r="K6" s="14"/>
      <c r="L6" s="14"/>
      <c r="M6" s="14"/>
      <c r="N6" s="14"/>
      <c r="O6" s="14"/>
      <c r="P6" s="14"/>
      <c r="Q6" s="14"/>
    </row>
    <row r="7" spans="1:20" ht="20.100000000000001" customHeight="1" x14ac:dyDescent="0.25">
      <c r="A7" s="25"/>
      <c r="B7" s="25"/>
      <c r="C7" s="25"/>
      <c r="D7" s="14"/>
      <c r="E7" s="14"/>
      <c r="F7" s="14"/>
      <c r="G7" s="14"/>
      <c r="H7" s="14"/>
      <c r="I7" s="14"/>
      <c r="J7" s="14"/>
      <c r="K7" s="14"/>
      <c r="L7" s="14"/>
      <c r="M7" s="14"/>
      <c r="N7" s="14"/>
      <c r="O7" s="14"/>
      <c r="P7" s="14"/>
      <c r="Q7" s="14"/>
      <c r="T7" s="20"/>
    </row>
    <row r="8" spans="1:20" ht="20.100000000000001" customHeight="1" x14ac:dyDescent="0.25">
      <c r="A8" s="25"/>
      <c r="B8" s="25"/>
      <c r="C8" s="25"/>
      <c r="D8" s="14"/>
      <c r="E8" s="14"/>
      <c r="F8" s="14"/>
      <c r="G8" s="14"/>
      <c r="H8" s="14"/>
      <c r="I8" s="14"/>
      <c r="J8" s="14"/>
      <c r="K8" s="14"/>
      <c r="L8" s="14"/>
      <c r="M8" s="14"/>
      <c r="N8" s="14"/>
      <c r="O8" s="14"/>
      <c r="P8" s="14"/>
      <c r="Q8" s="14"/>
      <c r="T8" s="21"/>
    </row>
    <row r="9" spans="1:20" ht="20.100000000000001" customHeight="1" x14ac:dyDescent="0.25">
      <c r="A9" s="25"/>
      <c r="B9" s="25"/>
      <c r="C9" s="25"/>
      <c r="D9" s="14"/>
      <c r="E9" s="23"/>
      <c r="F9" s="23"/>
      <c r="G9" s="23"/>
      <c r="H9" s="14"/>
      <c r="I9" s="23"/>
      <c r="J9" s="23"/>
      <c r="K9" s="23"/>
      <c r="L9" s="14"/>
      <c r="M9" s="23"/>
      <c r="N9" s="23"/>
      <c r="O9" s="23"/>
      <c r="P9" s="14"/>
      <c r="Q9" s="14"/>
      <c r="T9" s="21"/>
    </row>
    <row r="10" spans="1:20" ht="20.100000000000001" customHeight="1" x14ac:dyDescent="0.25">
      <c r="A10" s="25"/>
      <c r="B10" s="25"/>
      <c r="C10" s="25"/>
      <c r="D10" s="14"/>
      <c r="E10" s="14"/>
      <c r="F10" s="14"/>
      <c r="G10" s="14"/>
      <c r="H10" s="14"/>
      <c r="I10" s="14"/>
      <c r="J10" s="18"/>
      <c r="K10" s="14"/>
      <c r="L10" s="14"/>
      <c r="M10" s="14"/>
      <c r="N10" s="14"/>
      <c r="O10" s="14"/>
      <c r="P10" s="14"/>
      <c r="Q10" s="14"/>
      <c r="T10" s="21"/>
    </row>
    <row r="11" spans="1:20" ht="20.100000000000001" customHeight="1" x14ac:dyDescent="0.25">
      <c r="A11" s="25"/>
      <c r="B11" s="25"/>
      <c r="C11" s="25"/>
      <c r="D11" s="14"/>
      <c r="E11" s="14"/>
      <c r="F11" s="14"/>
      <c r="G11" s="14"/>
      <c r="H11" s="14"/>
      <c r="I11" s="14"/>
      <c r="J11" s="14"/>
      <c r="K11" s="14"/>
      <c r="L11" s="14"/>
      <c r="M11" s="14"/>
      <c r="N11" s="14"/>
      <c r="O11" s="14"/>
      <c r="P11" s="14"/>
      <c r="Q11" s="14"/>
      <c r="T11" s="21"/>
    </row>
    <row r="12" spans="1:20" ht="20.100000000000001" customHeight="1" x14ac:dyDescent="0.25">
      <c r="A12" s="25"/>
      <c r="B12" s="25"/>
      <c r="C12" s="25"/>
      <c r="D12" s="14"/>
      <c r="E12" s="14"/>
      <c r="F12" s="14"/>
      <c r="G12" s="14"/>
      <c r="H12" s="14"/>
      <c r="I12" s="14"/>
      <c r="J12" s="14"/>
      <c r="K12" s="14"/>
      <c r="L12" s="14"/>
      <c r="M12" s="14"/>
      <c r="N12" s="14"/>
      <c r="O12" s="14"/>
      <c r="P12" s="14"/>
      <c r="Q12" s="14"/>
      <c r="T12" s="21"/>
    </row>
    <row r="13" spans="1:20" ht="20.100000000000001" customHeight="1" x14ac:dyDescent="0.25">
      <c r="A13" s="25"/>
      <c r="B13" s="25"/>
      <c r="C13" s="25"/>
      <c r="D13" s="14"/>
      <c r="E13" s="14"/>
      <c r="F13" s="14"/>
      <c r="G13" s="14"/>
      <c r="H13" s="14"/>
      <c r="I13" s="14"/>
      <c r="J13" s="14"/>
      <c r="K13" s="14"/>
      <c r="L13" s="14"/>
      <c r="M13" s="14"/>
      <c r="N13" s="14"/>
      <c r="O13" s="14"/>
      <c r="P13" s="14"/>
      <c r="Q13" s="14"/>
    </row>
    <row r="14" spans="1:20" ht="20.100000000000001" customHeight="1" x14ac:dyDescent="0.25">
      <c r="A14" s="25"/>
      <c r="B14" s="25"/>
      <c r="C14" s="25"/>
      <c r="D14" s="14"/>
      <c r="E14" s="14"/>
      <c r="F14" s="14"/>
      <c r="G14" s="14"/>
      <c r="H14" s="14"/>
      <c r="I14" s="14"/>
      <c r="J14" s="14"/>
      <c r="K14" s="14"/>
      <c r="L14" s="14"/>
      <c r="M14" s="14"/>
      <c r="N14" s="14"/>
      <c r="O14" s="14"/>
      <c r="P14" s="14"/>
      <c r="Q14" s="14"/>
    </row>
    <row r="15" spans="1:20" ht="20.100000000000001" customHeight="1" x14ac:dyDescent="0.25">
      <c r="A15" s="25"/>
      <c r="B15" s="25"/>
      <c r="C15" s="25"/>
      <c r="D15" s="14"/>
      <c r="E15" s="14"/>
      <c r="F15" s="14"/>
      <c r="G15" s="14"/>
      <c r="H15" s="14"/>
      <c r="I15" s="14"/>
      <c r="J15" s="14"/>
      <c r="K15" s="14"/>
      <c r="L15" s="14"/>
      <c r="M15" s="14"/>
      <c r="N15" s="14"/>
      <c r="O15" s="14"/>
      <c r="P15" s="14"/>
      <c r="Q15" s="14"/>
    </row>
    <row r="16" spans="1:20" ht="20.100000000000001" customHeight="1" x14ac:dyDescent="0.25">
      <c r="A16" s="25"/>
      <c r="B16" s="25"/>
      <c r="C16" s="25"/>
      <c r="D16" s="14"/>
      <c r="E16" s="14"/>
      <c r="F16" s="14"/>
      <c r="G16" s="14"/>
      <c r="H16" s="14"/>
      <c r="I16" s="14"/>
      <c r="J16" s="14"/>
      <c r="K16" s="14"/>
      <c r="L16" s="14"/>
      <c r="M16" s="14"/>
      <c r="N16" s="14"/>
      <c r="O16" s="14"/>
      <c r="P16" s="14"/>
      <c r="Q16" s="14"/>
    </row>
    <row r="17" spans="1:19" ht="20.100000000000001" customHeight="1" x14ac:dyDescent="0.25">
      <c r="A17" s="25"/>
      <c r="B17" s="25"/>
      <c r="C17" s="25"/>
      <c r="D17" s="14"/>
      <c r="E17" s="14"/>
      <c r="F17" s="14"/>
      <c r="G17" s="14"/>
      <c r="H17" s="14"/>
      <c r="I17" s="14"/>
      <c r="J17" s="14"/>
      <c r="K17" s="14"/>
      <c r="L17" s="14"/>
      <c r="M17" s="14"/>
      <c r="N17" s="14"/>
      <c r="O17" s="14"/>
      <c r="P17" s="14"/>
      <c r="Q17" s="14"/>
    </row>
    <row r="18" spans="1:19" ht="20.100000000000001" customHeight="1" x14ac:dyDescent="0.25">
      <c r="A18" s="25"/>
      <c r="B18" s="25"/>
      <c r="C18" s="25"/>
      <c r="D18" s="14"/>
      <c r="E18" s="14"/>
      <c r="F18" s="14"/>
      <c r="G18" s="14"/>
      <c r="H18" s="14"/>
      <c r="I18" s="14"/>
      <c r="J18" s="14"/>
      <c r="K18" s="14"/>
      <c r="L18" s="14"/>
      <c r="M18" s="14"/>
      <c r="N18" s="14"/>
      <c r="O18" s="14"/>
      <c r="P18" s="14"/>
      <c r="Q18" s="14"/>
    </row>
    <row r="19" spans="1:19" ht="20.100000000000001" customHeight="1" x14ac:dyDescent="0.25">
      <c r="A19" s="25"/>
      <c r="B19" s="25"/>
      <c r="C19" s="25"/>
      <c r="D19" s="14"/>
      <c r="E19" s="14"/>
      <c r="F19" s="14"/>
      <c r="G19" s="14"/>
      <c r="H19" s="14"/>
      <c r="I19" s="14"/>
      <c r="J19" s="14"/>
      <c r="K19" s="14"/>
      <c r="L19" s="14"/>
      <c r="M19" s="14"/>
      <c r="N19" s="14"/>
      <c r="O19" s="14"/>
      <c r="P19" s="14"/>
      <c r="Q19" s="14"/>
    </row>
    <row r="20" spans="1:19" ht="20.100000000000001" customHeight="1" x14ac:dyDescent="0.25">
      <c r="A20" s="25"/>
      <c r="B20" s="25"/>
      <c r="C20" s="25"/>
      <c r="D20" s="14"/>
      <c r="E20" s="14"/>
      <c r="F20" s="14"/>
      <c r="G20" s="14"/>
      <c r="H20" s="14"/>
      <c r="I20" s="14"/>
      <c r="J20" s="14"/>
      <c r="K20" s="14"/>
      <c r="L20" s="14"/>
      <c r="M20" s="14"/>
      <c r="N20" s="14"/>
      <c r="O20" s="14"/>
      <c r="P20" s="14"/>
      <c r="Q20" s="14"/>
    </row>
    <row r="21" spans="1:19" ht="20.100000000000001" customHeight="1" x14ac:dyDescent="0.25">
      <c r="A21" s="25"/>
      <c r="B21" s="25"/>
      <c r="C21" s="25"/>
      <c r="D21" s="14"/>
      <c r="E21" s="14"/>
      <c r="F21" s="14"/>
      <c r="G21" s="14"/>
      <c r="H21" s="14"/>
      <c r="I21" s="14"/>
      <c r="J21" s="14"/>
      <c r="K21" s="14"/>
      <c r="L21" s="14"/>
      <c r="M21" s="14"/>
      <c r="N21" s="14"/>
      <c r="O21" s="14"/>
      <c r="P21" s="14"/>
      <c r="Q21" s="14"/>
      <c r="S21" t="s">
        <v>0</v>
      </c>
    </row>
    <row r="22" spans="1:19" ht="20.100000000000001" customHeight="1" x14ac:dyDescent="0.25">
      <c r="A22" s="25"/>
      <c r="B22" s="25"/>
      <c r="C22" s="25"/>
      <c r="D22" s="14"/>
      <c r="E22" s="14"/>
      <c r="F22" s="14"/>
      <c r="G22" s="14"/>
      <c r="H22" s="14"/>
      <c r="I22" s="14"/>
      <c r="J22" s="14"/>
      <c r="K22" s="14"/>
      <c r="L22" s="14"/>
      <c r="M22" s="14"/>
      <c r="N22" s="14"/>
      <c r="O22" s="14"/>
      <c r="P22" s="14"/>
      <c r="Q22" s="14"/>
    </row>
    <row r="23" spans="1:19" ht="20.100000000000001" customHeight="1" x14ac:dyDescent="0.25">
      <c r="A23" s="25"/>
      <c r="B23" s="25"/>
      <c r="C23" s="25"/>
      <c r="D23" s="14"/>
      <c r="E23" s="14"/>
      <c r="F23" s="14"/>
      <c r="G23" s="14"/>
      <c r="H23" s="14"/>
      <c r="I23" s="14"/>
      <c r="J23" s="14"/>
      <c r="K23" s="14"/>
      <c r="L23" s="14"/>
      <c r="M23" s="14"/>
      <c r="N23" s="14"/>
      <c r="O23" s="14"/>
      <c r="P23" s="14"/>
      <c r="Q23" s="14"/>
    </row>
    <row r="24" spans="1:19" ht="20.100000000000001" customHeight="1" x14ac:dyDescent="0.25">
      <c r="A24" s="25"/>
      <c r="B24" s="25"/>
      <c r="C24" s="25"/>
      <c r="D24" s="14"/>
      <c r="E24" s="14"/>
      <c r="F24" s="14"/>
      <c r="G24" s="14"/>
      <c r="H24" s="14"/>
      <c r="I24" s="14"/>
      <c r="J24" s="14"/>
      <c r="K24" s="14"/>
      <c r="L24" s="14"/>
      <c r="M24" s="14"/>
      <c r="N24" s="14"/>
      <c r="O24" s="14"/>
      <c r="P24" s="14"/>
      <c r="Q24" s="14"/>
    </row>
    <row r="25" spans="1:19" ht="20.100000000000001" customHeight="1" x14ac:dyDescent="0.25">
      <c r="A25" s="25"/>
      <c r="B25" s="25"/>
      <c r="C25" s="25"/>
      <c r="D25" s="14"/>
      <c r="E25" s="14"/>
      <c r="F25" s="14"/>
      <c r="G25" s="14"/>
      <c r="H25" s="14"/>
      <c r="I25" s="14"/>
      <c r="J25" s="14"/>
      <c r="K25" s="14"/>
      <c r="L25" s="14"/>
      <c r="M25" s="14"/>
      <c r="N25" s="14"/>
      <c r="O25" s="14"/>
      <c r="P25" s="14"/>
      <c r="Q25" s="14"/>
    </row>
    <row r="26" spans="1:19" ht="20.100000000000001" customHeight="1" x14ac:dyDescent="0.25">
      <c r="A26" s="25"/>
      <c r="B26" s="25"/>
      <c r="C26" s="25"/>
      <c r="D26" s="14"/>
      <c r="E26" s="14"/>
      <c r="F26" s="14"/>
      <c r="G26" s="14"/>
      <c r="H26" s="14"/>
      <c r="I26" s="14"/>
      <c r="J26" s="14"/>
      <c r="K26" s="14"/>
      <c r="L26" s="14"/>
      <c r="M26" s="14"/>
      <c r="N26" s="14"/>
      <c r="O26" s="14"/>
      <c r="P26" s="14"/>
      <c r="Q26" s="14"/>
    </row>
    <row r="27" spans="1:19" ht="20.100000000000001" customHeight="1" x14ac:dyDescent="0.25">
      <c r="A27" s="25"/>
      <c r="B27" s="25"/>
      <c r="C27" s="25"/>
      <c r="D27" s="14"/>
      <c r="E27" s="14"/>
      <c r="F27" s="14"/>
      <c r="G27" s="14"/>
      <c r="H27" s="14"/>
      <c r="I27" s="14"/>
      <c r="J27" s="14"/>
      <c r="K27" s="14"/>
      <c r="L27" s="14"/>
      <c r="M27" s="14"/>
      <c r="N27" s="14"/>
      <c r="O27" s="14"/>
      <c r="P27" s="14"/>
      <c r="Q27" s="14"/>
    </row>
    <row r="28" spans="1:19" ht="20.100000000000001" customHeight="1" x14ac:dyDescent="0.25">
      <c r="A28" s="25"/>
      <c r="B28" s="25"/>
      <c r="C28" s="25"/>
      <c r="D28" s="14"/>
      <c r="E28" s="14"/>
      <c r="F28" s="14"/>
      <c r="G28" s="14"/>
      <c r="H28" s="14"/>
      <c r="I28" s="14"/>
      <c r="J28" s="14"/>
      <c r="K28" s="14"/>
      <c r="L28" s="14"/>
      <c r="M28" s="14"/>
      <c r="N28" s="14"/>
      <c r="O28" s="14"/>
      <c r="P28" s="14"/>
      <c r="Q28" s="14"/>
    </row>
    <row r="29" spans="1:19" ht="12" customHeight="1" x14ac:dyDescent="0.25"/>
    <row r="30" spans="1:19" ht="12" customHeight="1" x14ac:dyDescent="0.25"/>
  </sheetData>
  <mergeCells count="4">
    <mergeCell ref="D1:Q2"/>
    <mergeCell ref="I3:K3"/>
    <mergeCell ref="M3:O3"/>
    <mergeCell ref="B4:C5"/>
  </mergeCells>
  <pageMargins left="0.7" right="0.7" top="0.75" bottom="0.75" header="0.3" footer="0.3"/>
  <pageSetup paperSize="9" orientation="portrait" horizontalDpi="360" verticalDpi="360"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7F477-9E2F-48B4-BBF8-865AAC2575E2}">
  <dimension ref="A1:T30"/>
  <sheetViews>
    <sheetView showGridLines="0" tabSelected="1" zoomScale="98" zoomScaleNormal="98" workbookViewId="0">
      <selection activeCell="S20" sqref="S20"/>
    </sheetView>
  </sheetViews>
  <sheetFormatPr defaultRowHeight="15" x14ac:dyDescent="0.25"/>
  <cols>
    <col min="1" max="17" width="10.7109375" customWidth="1"/>
    <col min="18" max="26" width="12.7109375" customWidth="1"/>
  </cols>
  <sheetData>
    <row r="1" spans="1:20" ht="20.100000000000001" customHeight="1" x14ac:dyDescent="0.25">
      <c r="A1" s="24"/>
      <c r="B1" s="24"/>
      <c r="C1" s="24"/>
      <c r="D1" s="34" t="s">
        <v>110</v>
      </c>
      <c r="E1" s="34"/>
      <c r="F1" s="34"/>
      <c r="G1" s="34"/>
      <c r="H1" s="34"/>
      <c r="I1" s="34"/>
      <c r="J1" s="34"/>
      <c r="K1" s="34"/>
      <c r="L1" s="34"/>
      <c r="M1" s="34"/>
      <c r="N1" s="34"/>
      <c r="O1" s="34"/>
      <c r="P1" s="34"/>
      <c r="Q1" s="34"/>
    </row>
    <row r="2" spans="1:20" ht="20.100000000000001" customHeight="1" x14ac:dyDescent="0.25">
      <c r="A2" s="24"/>
      <c r="B2" s="24"/>
      <c r="C2" s="24"/>
      <c r="D2" s="34"/>
      <c r="E2" s="34"/>
      <c r="F2" s="34"/>
      <c r="G2" s="34"/>
      <c r="H2" s="34"/>
      <c r="I2" s="34"/>
      <c r="J2" s="34"/>
      <c r="K2" s="34"/>
      <c r="L2" s="34"/>
      <c r="M2" s="34"/>
      <c r="N2" s="34"/>
      <c r="O2" s="34"/>
      <c r="P2" s="34"/>
      <c r="Q2" s="34"/>
    </row>
    <row r="3" spans="1:20" ht="20.100000000000001" customHeight="1" x14ac:dyDescent="0.25">
      <c r="A3" s="24"/>
      <c r="B3" s="24"/>
      <c r="C3" s="24"/>
      <c r="D3" s="19"/>
      <c r="E3" s="19"/>
      <c r="F3" s="19"/>
      <c r="G3" s="19"/>
      <c r="H3" s="19"/>
      <c r="I3" s="34"/>
      <c r="J3" s="34"/>
      <c r="K3" s="34"/>
      <c r="L3" s="19"/>
      <c r="M3" s="34"/>
      <c r="N3" s="34"/>
      <c r="O3" s="34"/>
      <c r="P3" s="19"/>
      <c r="Q3" s="19"/>
      <c r="S3" t="s">
        <v>0</v>
      </c>
    </row>
    <row r="4" spans="1:20" ht="20.100000000000001" customHeight="1" x14ac:dyDescent="0.25">
      <c r="A4" s="25"/>
      <c r="B4" s="35"/>
      <c r="C4" s="35"/>
      <c r="D4" s="22"/>
      <c r="E4" s="23"/>
      <c r="F4" s="23"/>
      <c r="G4" s="23"/>
      <c r="H4" s="14"/>
      <c r="I4" s="23"/>
      <c r="J4" s="23"/>
      <c r="K4" s="23"/>
      <c r="L4" s="14"/>
      <c r="M4" s="23"/>
      <c r="N4" s="23"/>
      <c r="O4" s="23"/>
      <c r="P4" s="14"/>
      <c r="Q4" s="14"/>
    </row>
    <row r="5" spans="1:20" ht="20.100000000000001" customHeight="1" x14ac:dyDescent="0.25">
      <c r="A5" s="25"/>
      <c r="B5" s="35"/>
      <c r="C5" s="35"/>
      <c r="D5" s="22"/>
      <c r="E5" s="22"/>
      <c r="F5" s="14"/>
      <c r="G5" s="14"/>
      <c r="H5" s="15"/>
      <c r="I5" s="14"/>
      <c r="J5" s="16"/>
      <c r="K5" s="14"/>
      <c r="L5" s="14"/>
      <c r="M5" s="14"/>
      <c r="N5" s="14"/>
      <c r="O5" s="14"/>
      <c r="P5" s="14"/>
      <c r="Q5" s="14"/>
    </row>
    <row r="6" spans="1:20" ht="20.100000000000001" customHeight="1" x14ac:dyDescent="0.25">
      <c r="A6" s="25"/>
      <c r="B6" s="26"/>
      <c r="C6" s="25"/>
      <c r="D6" s="17"/>
      <c r="E6" s="14"/>
      <c r="F6" s="15"/>
      <c r="G6" s="14"/>
      <c r="H6" s="15"/>
      <c r="I6" s="14"/>
      <c r="J6" s="16"/>
      <c r="K6" s="14"/>
      <c r="L6" s="14"/>
      <c r="M6" s="14"/>
      <c r="N6" s="14"/>
      <c r="O6" s="14"/>
      <c r="P6" s="14"/>
      <c r="Q6" s="14"/>
    </row>
    <row r="7" spans="1:20" ht="20.100000000000001" customHeight="1" x14ac:dyDescent="0.25">
      <c r="A7" s="25"/>
      <c r="B7" s="25"/>
      <c r="C7" s="25"/>
      <c r="D7" s="14"/>
      <c r="E7" s="14"/>
      <c r="F7" s="14"/>
      <c r="G7" s="14"/>
      <c r="H7" s="14"/>
      <c r="I7" s="14"/>
      <c r="J7" s="14"/>
      <c r="K7" s="14"/>
      <c r="L7" s="14"/>
      <c r="M7" s="14"/>
      <c r="N7" s="14"/>
      <c r="O7" s="14"/>
      <c r="P7" s="14"/>
      <c r="Q7" s="14"/>
      <c r="T7" s="20"/>
    </row>
    <row r="8" spans="1:20" ht="20.100000000000001" customHeight="1" x14ac:dyDescent="0.25">
      <c r="A8" s="25"/>
      <c r="B8" s="25"/>
      <c r="C8" s="25"/>
      <c r="D8" s="14"/>
      <c r="E8" s="14"/>
      <c r="F8" s="14"/>
      <c r="G8" s="14"/>
      <c r="H8" s="14"/>
      <c r="I8" s="14"/>
      <c r="J8" s="14"/>
      <c r="K8" s="14"/>
      <c r="L8" s="14"/>
      <c r="M8" s="14"/>
      <c r="N8" s="14"/>
      <c r="O8" s="14"/>
      <c r="P8" s="14"/>
      <c r="Q8" s="14"/>
      <c r="T8" s="21"/>
    </row>
    <row r="9" spans="1:20" ht="20.100000000000001" customHeight="1" x14ac:dyDescent="0.25">
      <c r="A9" s="25"/>
      <c r="B9" s="25"/>
      <c r="C9" s="25"/>
      <c r="D9" s="14"/>
      <c r="E9" s="23"/>
      <c r="F9" s="23"/>
      <c r="G9" s="23"/>
      <c r="H9" s="14"/>
      <c r="I9" s="23"/>
      <c r="J9" s="23"/>
      <c r="K9" s="23"/>
      <c r="L9" s="14"/>
      <c r="M9" s="23"/>
      <c r="N9" s="23"/>
      <c r="O9" s="23"/>
      <c r="P9" s="14"/>
      <c r="Q9" s="14"/>
      <c r="T9" s="21"/>
    </row>
    <row r="10" spans="1:20" ht="20.100000000000001" customHeight="1" x14ac:dyDescent="0.25">
      <c r="A10" s="25"/>
      <c r="B10" s="25"/>
      <c r="C10" s="25"/>
      <c r="D10" s="14"/>
      <c r="E10" s="14"/>
      <c r="F10" s="14"/>
      <c r="G10" s="14"/>
      <c r="H10" s="14"/>
      <c r="I10" s="14"/>
      <c r="J10" s="18"/>
      <c r="K10" s="14"/>
      <c r="L10" s="14"/>
      <c r="M10" s="14"/>
      <c r="N10" s="14"/>
      <c r="O10" s="14"/>
      <c r="P10" s="14"/>
      <c r="Q10" s="14"/>
      <c r="T10" s="21" t="s">
        <v>0</v>
      </c>
    </row>
    <row r="11" spans="1:20" ht="20.100000000000001" customHeight="1" x14ac:dyDescent="0.25">
      <c r="A11" s="25"/>
      <c r="B11" s="25"/>
      <c r="C11" s="25"/>
      <c r="D11" s="14"/>
      <c r="E11" s="14"/>
      <c r="F11" s="14"/>
      <c r="G11" s="14"/>
      <c r="H11" s="14"/>
      <c r="I11" s="14"/>
      <c r="J11" s="14"/>
      <c r="K11" s="14"/>
      <c r="L11" s="14"/>
      <c r="M11" s="14"/>
      <c r="N11" s="14"/>
      <c r="O11" s="14"/>
      <c r="P11" s="14"/>
      <c r="Q11" s="14"/>
      <c r="T11" s="21"/>
    </row>
    <row r="12" spans="1:20" ht="20.100000000000001" customHeight="1" x14ac:dyDescent="0.25">
      <c r="A12" s="25"/>
      <c r="B12" s="25"/>
      <c r="C12" s="25"/>
      <c r="D12" s="14"/>
      <c r="E12" s="14"/>
      <c r="F12" s="14"/>
      <c r="G12" s="14"/>
      <c r="H12" s="14"/>
      <c r="I12" s="14"/>
      <c r="J12" s="14"/>
      <c r="K12" s="14"/>
      <c r="L12" s="14"/>
      <c r="M12" s="14"/>
      <c r="N12" s="14"/>
      <c r="O12" s="14"/>
      <c r="P12" s="14"/>
      <c r="Q12" s="14"/>
      <c r="T12" s="21"/>
    </row>
    <row r="13" spans="1:20" ht="20.100000000000001" customHeight="1" x14ac:dyDescent="0.25">
      <c r="A13" s="25"/>
      <c r="B13" s="25"/>
      <c r="C13" s="25"/>
      <c r="D13" s="14"/>
      <c r="E13" s="14"/>
      <c r="F13" s="14"/>
      <c r="G13" s="14"/>
      <c r="H13" s="14"/>
      <c r="I13" s="14"/>
      <c r="J13" s="14"/>
      <c r="K13" s="14"/>
      <c r="L13" s="14"/>
      <c r="M13" s="14"/>
      <c r="N13" s="14"/>
      <c r="O13" s="14"/>
      <c r="P13" s="14"/>
      <c r="Q13" s="14"/>
    </row>
    <row r="14" spans="1:20" ht="20.100000000000001" customHeight="1" x14ac:dyDescent="0.25">
      <c r="A14" s="25"/>
      <c r="B14" s="25"/>
      <c r="C14" s="25"/>
      <c r="D14" s="14"/>
      <c r="E14" s="14"/>
      <c r="F14" s="14"/>
      <c r="G14" s="14"/>
      <c r="H14" s="14"/>
      <c r="I14" s="14"/>
      <c r="J14" s="14"/>
      <c r="K14" s="14"/>
      <c r="L14" s="14"/>
      <c r="M14" s="14"/>
      <c r="N14" s="14"/>
      <c r="O14" s="14"/>
      <c r="P14" s="14"/>
      <c r="Q14" s="14"/>
    </row>
    <row r="15" spans="1:20" ht="20.100000000000001" customHeight="1" x14ac:dyDescent="0.25">
      <c r="A15" s="25"/>
      <c r="B15" s="25"/>
      <c r="C15" s="25"/>
      <c r="D15" s="14"/>
      <c r="E15" s="14"/>
      <c r="F15" s="14"/>
      <c r="G15" s="14"/>
      <c r="H15" s="14"/>
      <c r="I15" s="14"/>
      <c r="J15" s="14"/>
      <c r="K15" s="14"/>
      <c r="L15" s="14"/>
      <c r="M15" s="14"/>
      <c r="N15" s="14"/>
      <c r="O15" s="14"/>
      <c r="P15" s="14"/>
      <c r="Q15" s="14"/>
    </row>
    <row r="16" spans="1:20" ht="20.100000000000001" customHeight="1" x14ac:dyDescent="0.25">
      <c r="A16" s="25"/>
      <c r="B16" s="25"/>
      <c r="C16" s="25"/>
      <c r="D16" s="14"/>
      <c r="E16" s="14"/>
      <c r="F16" s="14"/>
      <c r="G16" s="14"/>
      <c r="H16" s="14"/>
      <c r="I16" s="14"/>
      <c r="J16" s="14"/>
      <c r="K16" s="14"/>
      <c r="L16" s="14"/>
      <c r="M16" s="14"/>
      <c r="N16" s="14"/>
      <c r="O16" s="14"/>
      <c r="P16" s="14"/>
      <c r="Q16" s="14"/>
    </row>
    <row r="17" spans="1:19" ht="20.100000000000001" customHeight="1" x14ac:dyDescent="0.25">
      <c r="A17" s="25"/>
      <c r="B17" s="25"/>
      <c r="C17" s="25"/>
      <c r="D17" s="14"/>
      <c r="E17" s="14"/>
      <c r="F17" s="14"/>
      <c r="G17" s="14"/>
      <c r="H17" s="14"/>
      <c r="I17" s="14"/>
      <c r="J17" s="14"/>
      <c r="K17" s="14"/>
      <c r="L17" s="14"/>
      <c r="M17" s="14"/>
      <c r="N17" s="14"/>
      <c r="O17" s="14"/>
      <c r="P17" s="14"/>
      <c r="Q17" s="14"/>
    </row>
    <row r="18" spans="1:19" ht="20.100000000000001" customHeight="1" x14ac:dyDescent="0.25">
      <c r="A18" s="25"/>
      <c r="B18" s="25"/>
      <c r="C18" s="25"/>
      <c r="D18" s="14"/>
      <c r="E18" s="14"/>
      <c r="F18" s="14"/>
      <c r="G18" s="14"/>
      <c r="H18" s="14"/>
      <c r="I18" s="14"/>
      <c r="J18" s="14"/>
      <c r="K18" s="14"/>
      <c r="L18" s="14"/>
      <c r="M18" s="14"/>
      <c r="N18" s="14"/>
      <c r="O18" s="14"/>
      <c r="P18" s="14"/>
      <c r="Q18" s="14"/>
    </row>
    <row r="19" spans="1:19" ht="20.100000000000001" customHeight="1" x14ac:dyDescent="0.25">
      <c r="A19" s="25"/>
      <c r="B19" s="25"/>
      <c r="C19" s="25"/>
      <c r="D19" s="14"/>
      <c r="E19" s="14"/>
      <c r="F19" s="14"/>
      <c r="G19" s="14"/>
      <c r="H19" s="14"/>
      <c r="I19" s="14"/>
      <c r="J19" s="14"/>
      <c r="K19" s="14"/>
      <c r="L19" s="14"/>
      <c r="M19" s="14"/>
      <c r="N19" s="14"/>
      <c r="O19" s="14"/>
      <c r="P19" s="14"/>
      <c r="Q19" s="14"/>
    </row>
    <row r="20" spans="1:19" ht="20.100000000000001" customHeight="1" x14ac:dyDescent="0.25">
      <c r="A20" s="25"/>
      <c r="B20" s="25"/>
      <c r="C20" s="25"/>
      <c r="D20" s="14"/>
      <c r="E20" s="14"/>
      <c r="F20" s="14"/>
      <c r="G20" s="14"/>
      <c r="H20" s="14"/>
      <c r="I20" s="14"/>
      <c r="J20" s="14"/>
      <c r="K20" s="14"/>
      <c r="L20" s="14"/>
      <c r="M20" s="14"/>
      <c r="N20" s="14"/>
      <c r="O20" s="14"/>
      <c r="P20" s="14"/>
      <c r="Q20" s="14"/>
    </row>
    <row r="21" spans="1:19" ht="20.100000000000001" customHeight="1" x14ac:dyDescent="0.25">
      <c r="A21" s="25"/>
      <c r="B21" s="25"/>
      <c r="C21" s="25"/>
      <c r="D21" s="14"/>
      <c r="E21" s="14"/>
      <c r="F21" s="14"/>
      <c r="G21" s="14"/>
      <c r="H21" s="14"/>
      <c r="I21" s="14"/>
      <c r="J21" s="14"/>
      <c r="K21" s="14"/>
      <c r="L21" s="14"/>
      <c r="M21" s="14"/>
      <c r="N21" s="14"/>
      <c r="O21" s="14"/>
      <c r="P21" s="14"/>
      <c r="Q21" s="14"/>
      <c r="S21" t="s">
        <v>0</v>
      </c>
    </row>
    <row r="22" spans="1:19" ht="20.100000000000001" customHeight="1" x14ac:dyDescent="0.25">
      <c r="A22" s="25"/>
      <c r="B22" s="25"/>
      <c r="C22" s="25"/>
      <c r="D22" s="14"/>
      <c r="E22" s="14"/>
      <c r="F22" s="14"/>
      <c r="G22" s="14"/>
      <c r="H22" s="14"/>
      <c r="I22" s="14"/>
      <c r="J22" s="14"/>
      <c r="K22" s="14"/>
      <c r="L22" s="14"/>
      <c r="M22" s="14"/>
      <c r="N22" s="14"/>
      <c r="O22" s="14"/>
      <c r="P22" s="14"/>
      <c r="Q22" s="14"/>
    </row>
    <row r="23" spans="1:19" ht="20.100000000000001" customHeight="1" x14ac:dyDescent="0.25">
      <c r="A23" s="25"/>
      <c r="B23" s="25"/>
      <c r="C23" s="25"/>
      <c r="D23" s="14"/>
      <c r="E23" s="14"/>
      <c r="F23" s="14"/>
      <c r="G23" s="14"/>
      <c r="H23" s="14"/>
      <c r="I23" s="14"/>
      <c r="J23" s="14"/>
      <c r="K23" s="14"/>
      <c r="L23" s="14"/>
      <c r="M23" s="14"/>
      <c r="N23" s="14"/>
      <c r="O23" s="14"/>
      <c r="P23" s="14"/>
      <c r="Q23" s="14"/>
    </row>
    <row r="24" spans="1:19" ht="20.100000000000001" customHeight="1" x14ac:dyDescent="0.25">
      <c r="A24" s="25"/>
      <c r="B24" s="25"/>
      <c r="C24" s="25"/>
      <c r="D24" s="14"/>
      <c r="E24" s="14"/>
      <c r="F24" s="14"/>
      <c r="G24" s="14"/>
      <c r="H24" s="14"/>
      <c r="I24" s="14"/>
      <c r="J24" s="14"/>
      <c r="K24" s="14"/>
      <c r="L24" s="14"/>
      <c r="M24" s="14"/>
      <c r="N24" s="14"/>
      <c r="O24" s="14"/>
      <c r="P24" s="14"/>
      <c r="Q24" s="14"/>
    </row>
    <row r="25" spans="1:19" ht="20.100000000000001" customHeight="1" x14ac:dyDescent="0.25">
      <c r="A25" s="25"/>
      <c r="B25" s="25"/>
      <c r="C25" s="25"/>
      <c r="D25" s="14"/>
      <c r="E25" s="14"/>
      <c r="F25" s="14"/>
      <c r="G25" s="14"/>
      <c r="H25" s="14"/>
      <c r="I25" s="14"/>
      <c r="J25" s="14"/>
      <c r="K25" s="14"/>
      <c r="L25" s="14"/>
      <c r="M25" s="14"/>
      <c r="N25" s="14"/>
      <c r="O25" s="14"/>
      <c r="P25" s="14"/>
      <c r="Q25" s="14"/>
    </row>
    <row r="26" spans="1:19" ht="20.100000000000001" customHeight="1" x14ac:dyDescent="0.25">
      <c r="A26" s="25"/>
      <c r="B26" s="25"/>
      <c r="C26" s="25"/>
      <c r="D26" s="14"/>
      <c r="E26" s="14"/>
      <c r="F26" s="14"/>
      <c r="G26" s="14"/>
      <c r="H26" s="14"/>
      <c r="I26" s="14"/>
      <c r="J26" s="14"/>
      <c r="K26" s="14"/>
      <c r="L26" s="14"/>
      <c r="M26" s="14"/>
      <c r="N26" s="14"/>
      <c r="O26" s="14"/>
      <c r="P26" s="14"/>
      <c r="Q26" s="14"/>
    </row>
    <row r="27" spans="1:19" ht="20.100000000000001" customHeight="1" x14ac:dyDescent="0.25">
      <c r="A27" s="25"/>
      <c r="B27" s="25"/>
      <c r="C27" s="25"/>
      <c r="D27" s="14"/>
      <c r="E27" s="14"/>
      <c r="F27" s="14"/>
      <c r="G27" s="14"/>
      <c r="H27" s="14"/>
      <c r="I27" s="14"/>
      <c r="J27" s="14"/>
      <c r="K27" s="14"/>
      <c r="L27" s="14"/>
      <c r="M27" s="14"/>
      <c r="N27" s="14"/>
      <c r="O27" s="14"/>
      <c r="P27" s="14"/>
      <c r="Q27" s="14"/>
    </row>
    <row r="28" spans="1:19" ht="20.100000000000001" customHeight="1" x14ac:dyDescent="0.25">
      <c r="A28" s="25"/>
      <c r="B28" s="25"/>
      <c r="C28" s="25"/>
      <c r="D28" s="14"/>
      <c r="E28" s="14"/>
      <c r="F28" s="14"/>
      <c r="G28" s="14"/>
      <c r="H28" s="14"/>
      <c r="I28" s="14"/>
      <c r="J28" s="14"/>
      <c r="K28" s="14"/>
      <c r="L28" s="14"/>
      <c r="M28" s="14"/>
      <c r="N28" s="14"/>
      <c r="O28" s="14"/>
      <c r="P28" s="14"/>
      <c r="Q28" s="14"/>
    </row>
    <row r="29" spans="1:19" ht="12" customHeight="1" x14ac:dyDescent="0.25"/>
    <row r="30" spans="1:19" ht="12" customHeight="1" x14ac:dyDescent="0.25"/>
  </sheetData>
  <mergeCells count="4">
    <mergeCell ref="D1:Q2"/>
    <mergeCell ref="I3:K3"/>
    <mergeCell ref="M3:O3"/>
    <mergeCell ref="B4:C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833C021-7508-47ED-8ACD-F02A00EFDBF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Dane surowe</vt:lpstr>
      <vt:lpstr>Dane przetworzone</vt:lpstr>
      <vt:lpstr>Słowniki</vt:lpstr>
      <vt:lpstr>Tabele przestawne</vt:lpstr>
      <vt:lpstr>Przegląd</vt:lpstr>
      <vt:lpstr>Efektywność</vt:lpstr>
      <vt:lpstr>Straty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ola bozenko</dc:creator>
  <cp:lastModifiedBy>ola bozenko</cp:lastModifiedBy>
  <dcterms:created xsi:type="dcterms:W3CDTF">2026-07-31T12:54:48Z</dcterms:created>
  <dcterms:modified xsi:type="dcterms:W3CDTF">2026-08-29T13:44:15Z</dcterms:modified>
</cp:coreProperties>
</file>